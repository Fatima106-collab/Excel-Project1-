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-FF-L5-D08\Downloads\"/>
    </mc:Choice>
  </mc:AlternateContent>
  <xr:revisionPtr revIDLastSave="0" documentId="13_ncr:1_{ACC08B6D-F6AA-4731-A47D-F2E5551ECAA5}" xr6:coauthVersionLast="36" xr6:coauthVersionMax="36" xr10:uidLastSave="{00000000-0000-0000-0000-000000000000}"/>
  <bookViews>
    <workbookView xWindow="0" yWindow="0" windowWidth="17250" windowHeight="9555" activeTab="1" xr2:uid="{00000000-000D-0000-FFFF-FFFF00000000}"/>
  </bookViews>
  <sheets>
    <sheet name="Orders" sheetId="1" r:id="rId1"/>
    <sheet name="Sales Dash board" sheetId="10" r:id="rId2"/>
  </sheets>
  <definedNames>
    <definedName name="_xlnm._FilterDatabase" localSheetId="0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0" l="1"/>
  <c r="B5" i="10"/>
  <c r="F35" i="10" l="1"/>
  <c r="E35" i="10"/>
  <c r="C35" i="10"/>
  <c r="B17" i="10"/>
  <c r="B12" i="10"/>
  <c r="B13" i="10"/>
  <c r="B14" i="10"/>
  <c r="B11" i="10"/>
  <c r="B7" i="10"/>
  <c r="O3" i="1"/>
  <c r="J3" i="1"/>
  <c r="B3" i="1"/>
  <c r="B35" i="10" l="1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D39" i="10" l="1"/>
  <c r="D40" i="10"/>
  <c r="D41" i="10"/>
  <c r="D42" i="10"/>
  <c r="C39" i="10"/>
  <c r="C40" i="10"/>
  <c r="C41" i="10"/>
  <c r="C42" i="10"/>
  <c r="C38" i="10"/>
  <c r="D38" i="10"/>
  <c r="B39" i="10"/>
  <c r="B40" i="10"/>
  <c r="B41" i="10"/>
  <c r="B42" i="10"/>
  <c r="B38" i="10"/>
  <c r="T43" i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F26" i="10" s="1"/>
  <c r="V758" i="1"/>
  <c r="W758" i="1" s="1"/>
  <c r="Y758" i="1" s="1"/>
  <c r="V756" i="1"/>
  <c r="W756" i="1" s="1"/>
  <c r="Y756" i="1" s="1"/>
  <c r="V754" i="1"/>
  <c r="W754" i="1" s="1"/>
  <c r="Y754" i="1" s="1"/>
  <c r="F34" i="10" s="1"/>
  <c r="V752" i="1"/>
  <c r="W752" i="1" s="1"/>
  <c r="Y752" i="1" s="1"/>
  <c r="F24" i="10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E30" i="10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F22" i="10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F32" i="10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E22" i="10" s="1"/>
  <c r="V499" i="1"/>
  <c r="W499" i="1" s="1"/>
  <c r="Y499" i="1" s="1"/>
  <c r="V497" i="1"/>
  <c r="W497" i="1" s="1"/>
  <c r="Y497" i="1" s="1"/>
  <c r="V495" i="1"/>
  <c r="W495" i="1" s="1"/>
  <c r="Y495" i="1" s="1"/>
  <c r="E25" i="10" s="1"/>
  <c r="V493" i="1"/>
  <c r="W493" i="1" s="1"/>
  <c r="Y493" i="1" s="1"/>
  <c r="V486" i="1"/>
  <c r="W486" i="1" s="1"/>
  <c r="Y486" i="1" s="1"/>
  <c r="E23" i="10" s="1"/>
  <c r="V485" i="1"/>
  <c r="W485" i="1" s="1"/>
  <c r="Y485" i="1" s="1"/>
  <c r="V483" i="1"/>
  <c r="W483" i="1" s="1"/>
  <c r="Y483" i="1" s="1"/>
  <c r="E27" i="10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D22" i="10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D27" i="10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C28" i="10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D34" i="10" l="1"/>
  <c r="E42" i="10"/>
  <c r="D33" i="10"/>
  <c r="E39" i="10"/>
  <c r="D31" i="10"/>
  <c r="E24" i="10"/>
  <c r="F30" i="10"/>
  <c r="E29" i="10"/>
  <c r="F25" i="10"/>
  <c r="F31" i="10"/>
  <c r="E26" i="10"/>
  <c r="C31" i="10"/>
  <c r="B31" i="10" s="1"/>
  <c r="C26" i="10"/>
  <c r="B26" i="10" s="1"/>
  <c r="D30" i="10"/>
  <c r="F21" i="10"/>
  <c r="C21" i="10"/>
  <c r="B21" i="10" s="1"/>
  <c r="D25" i="10"/>
  <c r="C34" i="10"/>
  <c r="D28" i="10"/>
  <c r="B28" i="10" s="1"/>
  <c r="C33" i="10"/>
  <c r="E34" i="10"/>
  <c r="E28" i="10"/>
  <c r="F23" i="10"/>
  <c r="D24" i="10"/>
  <c r="E32" i="10"/>
  <c r="F29" i="10"/>
  <c r="C29" i="10"/>
  <c r="E38" i="10"/>
  <c r="C27" i="10"/>
  <c r="B27" i="10" s="1"/>
  <c r="C30" i="10"/>
  <c r="C32" i="10"/>
  <c r="E40" i="10"/>
  <c r="E21" i="10"/>
  <c r="C23" i="10"/>
  <c r="C24" i="10"/>
  <c r="E31" i="10"/>
  <c r="D26" i="10"/>
  <c r="D32" i="10"/>
  <c r="C22" i="10"/>
  <c r="B22" i="10" s="1"/>
  <c r="F33" i="10"/>
  <c r="E41" i="10"/>
  <c r="D29" i="10"/>
  <c r="C25" i="10"/>
  <c r="D23" i="10"/>
  <c r="F27" i="10"/>
  <c r="D21" i="10"/>
  <c r="E33" i="10"/>
  <c r="F28" i="10"/>
  <c r="B33" i="10" l="1"/>
  <c r="B34" i="10"/>
  <c r="B25" i="10"/>
  <c r="B24" i="10"/>
  <c r="B32" i="10"/>
  <c r="B30" i="10"/>
  <c r="B29" i="10"/>
  <c r="B23" i="10"/>
</calcChain>
</file>

<file path=xl/sharedStrings.xml><?xml version="1.0" encoding="utf-8"?>
<sst xmlns="http://schemas.openxmlformats.org/spreadsheetml/2006/main" count="12529" uniqueCount="1964">
  <si>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</si>
  <si>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</si>
  <si>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</si>
  <si>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</si>
  <si>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</si>
  <si>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</si>
  <si>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</si>
  <si>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</si>
  <si>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</si>
  <si>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</si>
  <si>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</si>
  <si>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</si>
  <si>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</si>
  <si>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</si>
  <si>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</si>
  <si>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</si>
  <si>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</si>
  <si>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</si>
  <si>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</si>
  <si>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</si>
  <si>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</si>
  <si>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</si>
  <si>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</si>
  <si>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</si>
  <si>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</si>
  <si>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</si>
  <si>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</si>
  <si>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</si>
  <si>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</si>
  <si>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</si>
  <si>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</si>
  <si>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</si>
  <si>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</si>
  <si>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</si>
  <si>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</si>
  <si>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</si>
  <si>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</si>
  <si>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</si>
  <si>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</si>
  <si>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</si>
  <si>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</si>
  <si>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</si>
  <si>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</si>
  <si>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</si>
  <si>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</si>
  <si>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</si>
  <si>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</si>
  <si>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</si>
  <si>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</si>
  <si>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</si>
  <si>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</si>
  <si>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</si>
  <si>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</si>
  <si>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</si>
  <si>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</si>
  <si>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</si>
  <si>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</si>
  <si>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</si>
  <si>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</si>
  <si>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</si>
  <si>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</si>
  <si>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</si>
  <si>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</si>
  <si>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</si>
  <si>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</si>
  <si>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</si>
  <si>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</si>
  <si>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</si>
  <si>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</si>
  <si>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</si>
  <si>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</si>
  <si>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</si>
  <si>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</si>
  <si>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</si>
  <si>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</si>
  <si>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</si>
  <si>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</si>
  <si>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</si>
  <si>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</si>
  <si>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</si>
  <si>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</si>
  <si>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</si>
  <si>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</si>
  <si>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</si>
  <si>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</si>
  <si>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</si>
  <si>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</si>
  <si>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</si>
  <si>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</si>
  <si>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</si>
  <si>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</si>
  <si>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</si>
  <si>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</si>
  <si>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</si>
  <si>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</si>
  <si>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</si>
  <si>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</si>
  <si>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</si>
  <si>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</si>
  <si>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</si>
  <si>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</si>
  <si>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</si>
  <si>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</si>
  <si>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</si>
  <si>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</si>
  <si>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</si>
  <si>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</si>
  <si>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</si>
  <si>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</si>
  <si>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</si>
  <si>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</si>
  <si>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</si>
  <si>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</si>
  <si>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</si>
  <si>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</si>
  <si>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</si>
  <si>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</si>
  <si>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</si>
  <si>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</si>
  <si>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</si>
  <si>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</si>
  <si>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</si>
  <si>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</si>
  <si>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</si>
  <si>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</si>
  <si>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</si>
  <si>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</si>
  <si>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</si>
  <si>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</si>
  <si>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</si>
  <si>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</si>
  <si>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</si>
  <si>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</si>
  <si>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</si>
  <si>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</si>
  <si>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</si>
  <si>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</si>
  <si>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</si>
  <si>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</si>
  <si>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</si>
  <si>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</si>
  <si>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</si>
  <si>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</si>
  <si>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</si>
  <si>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</si>
  <si>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</si>
  <si>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</si>
  <si>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</si>
  <si>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</si>
  <si>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</si>
  <si>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</si>
  <si>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</si>
  <si>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</si>
  <si>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</si>
  <si>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</si>
  <si>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</si>
  <si>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</si>
  <si>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</si>
  <si>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</si>
  <si>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</si>
  <si>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</si>
  <si>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</si>
  <si>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</si>
  <si>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</si>
  <si>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</si>
  <si>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</si>
  <si>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</si>
  <si>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</si>
  <si>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</si>
  <si>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</si>
  <si>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</si>
  <si>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</si>
  <si>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</si>
  <si>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</si>
  <si>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</si>
  <si>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</si>
  <si>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</si>
  <si>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</si>
  <si>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</si>
  <si>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</si>
  <si>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</si>
  <si>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</si>
  <si>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</si>
  <si>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</si>
  <si>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</si>
  <si>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</si>
  <si>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</si>
  <si>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</si>
  <si>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</si>
  <si>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</si>
  <si>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</si>
  <si>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</si>
  <si>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</si>
  <si>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</si>
  <si>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</si>
  <si>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</si>
  <si>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</si>
  <si>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</si>
  <si>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</si>
  <si>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</si>
  <si>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</si>
  <si>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</si>
  <si>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</si>
  <si>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</si>
  <si>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</si>
  <si>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</si>
  <si>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</si>
  <si>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</si>
  <si>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</si>
  <si>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</si>
  <si>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</si>
  <si>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</si>
  <si>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</si>
  <si>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</si>
  <si>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</si>
  <si>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</si>
  <si>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</si>
  <si>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</si>
  <si>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</si>
  <si>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</si>
  <si>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</si>
  <si>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</si>
  <si>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</si>
  <si>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</si>
  <si>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</si>
  <si>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</si>
  <si>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</si>
  <si>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</si>
  <si>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</si>
  <si>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</si>
  <si>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</si>
  <si>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</si>
  <si>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</si>
  <si>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</si>
  <si>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</si>
  <si>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</si>
  <si>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</si>
  <si>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</si>
  <si>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</si>
  <si>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</si>
  <si>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</si>
  <si>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</si>
  <si>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</si>
  <si>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</si>
  <si>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</si>
  <si>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</si>
  <si>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</si>
  <si>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</si>
  <si>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</si>
  <si>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</si>
  <si>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</si>
  <si>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</si>
  <si>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</si>
  <si>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</si>
  <si>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</si>
  <si>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</si>
  <si>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</si>
  <si>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</si>
  <si>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</si>
  <si>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</si>
  <si>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</si>
  <si>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</si>
  <si>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</si>
  <si>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</si>
  <si>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</si>
  <si>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</si>
  <si>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</si>
  <si>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</si>
  <si>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</si>
  <si>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</si>
  <si>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</si>
  <si>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</si>
  <si>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</si>
  <si>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</si>
  <si>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</si>
  <si>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</si>
  <si>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</si>
  <si>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</si>
  <si>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</si>
  <si>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</si>
  <si>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</si>
  <si>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</si>
  <si>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</si>
  <si>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</si>
  <si>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</si>
  <si>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</si>
  <si>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</si>
  <si>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</si>
  <si>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</si>
  <si>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</si>
  <si>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</si>
  <si>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</si>
  <si>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</si>
  <si>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</si>
  <si>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</si>
  <si>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</si>
  <si>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</si>
  <si>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</si>
  <si>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</si>
  <si>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</si>
  <si>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</si>
  <si>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</si>
  <si>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</si>
  <si>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</si>
  <si>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</si>
  <si>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</si>
  <si>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</si>
  <si>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</si>
  <si>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</si>
  <si>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</si>
  <si>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</si>
  <si>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</si>
  <si>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</si>
  <si>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</si>
  <si>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</si>
  <si>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</si>
  <si>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</si>
  <si>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</si>
  <si>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</si>
  <si>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</si>
  <si>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</si>
  <si>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</si>
  <si>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</si>
  <si>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</si>
  <si>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</si>
  <si>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</si>
  <si>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</si>
  <si>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</si>
  <si>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</si>
  <si>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</si>
  <si>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</si>
  <si>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</si>
  <si>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</si>
  <si>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</si>
  <si>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</si>
  <si>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</si>
  <si>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</si>
  <si>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</si>
  <si>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</si>
  <si>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</si>
  <si>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</si>
  <si>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</si>
  <si>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</si>
  <si>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</si>
  <si>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</si>
  <si>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</si>
  <si>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</si>
  <si>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</si>
  <si>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</si>
  <si>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</si>
  <si>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</si>
  <si>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</si>
  <si>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</si>
  <si>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</si>
  <si>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</si>
  <si>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</si>
  <si>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</si>
  <si>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</si>
  <si>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</si>
  <si>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</si>
  <si>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</si>
  <si>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</si>
  <si>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</si>
  <si>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</si>
  <si>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</si>
  <si>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</si>
  <si>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</si>
  <si>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</si>
  <si>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</si>
  <si>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</si>
  <si>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</si>
  <si>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</si>
  <si>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</si>
  <si>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</si>
  <si>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</si>
  <si>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</si>
  <si>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</si>
  <si>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</si>
  <si>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</si>
  <si>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</si>
  <si>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</si>
  <si>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</si>
  <si>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</si>
  <si>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</si>
  <si>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</si>
  <si>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</si>
  <si>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</si>
  <si>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</si>
  <si>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</si>
  <si>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</si>
  <si>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</si>
  <si>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</si>
  <si>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</si>
  <si>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</si>
  <si>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</si>
  <si>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</si>
  <si>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</si>
  <si>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</si>
  <si>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</si>
  <si>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</si>
  <si>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</si>
  <si>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</si>
  <si>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</si>
  <si>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</si>
  <si>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</si>
  <si>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</si>
  <si>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</si>
  <si>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</si>
  <si>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</si>
  <si>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</si>
  <si>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</si>
  <si>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</si>
  <si>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</si>
  <si>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</si>
  <si>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</si>
  <si>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</si>
  <si>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</si>
  <si>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</si>
  <si>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</si>
  <si>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</si>
  <si>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</si>
  <si>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</si>
  <si>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</si>
  <si>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</si>
  <si>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</si>
  <si>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</si>
  <si>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</si>
  <si>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</si>
  <si>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</si>
  <si>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</si>
  <si>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</si>
  <si>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</si>
  <si>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</si>
  <si>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</si>
  <si>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</si>
  <si>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</si>
  <si>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</si>
  <si>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</si>
  <si>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</si>
  <si>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</si>
  <si>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</si>
  <si>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</si>
  <si>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</si>
  <si>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</si>
  <si>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</si>
  <si>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</si>
  <si>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</si>
  <si>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</si>
  <si>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</si>
  <si>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</si>
  <si>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</si>
  <si>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</si>
  <si>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</si>
  <si>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</si>
  <si>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</si>
  <si>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</si>
  <si>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</si>
  <si>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</si>
  <si>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</si>
  <si>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</si>
  <si>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</si>
  <si>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</si>
  <si>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</si>
  <si>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</si>
  <si>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</si>
  <si>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</si>
  <si>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</si>
  <si>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</si>
  <si>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</si>
  <si>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</si>
  <si>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</si>
  <si>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</si>
  <si>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</si>
  <si>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</si>
  <si>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</si>
  <si>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</si>
  <si>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</si>
  <si>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</si>
  <si>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</si>
  <si>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</si>
  <si>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</si>
  <si>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</si>
  <si>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</si>
  <si>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</si>
  <si>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</si>
  <si>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</si>
  <si>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</si>
  <si>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</si>
  <si>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</si>
  <si>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</si>
  <si>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</si>
  <si>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</si>
  <si>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</si>
  <si>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</si>
  <si>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</si>
  <si>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</si>
  <si>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</si>
  <si>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</si>
  <si>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</si>
  <si>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</si>
  <si>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</si>
  <si>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</si>
  <si>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</si>
  <si>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</si>
  <si>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</si>
  <si>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</si>
  <si>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</si>
  <si>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</si>
  <si>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</si>
  <si>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</si>
  <si>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</si>
  <si>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</si>
  <si>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</si>
  <si>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</si>
  <si>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</si>
  <si>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</si>
  <si>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</si>
  <si>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</si>
  <si>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</si>
  <si>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</si>
  <si>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</si>
  <si>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</si>
  <si>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</si>
  <si>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</si>
  <si>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</si>
  <si>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</si>
  <si>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</si>
  <si>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</si>
  <si>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</si>
  <si>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</si>
  <si>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</si>
  <si>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</si>
  <si>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</si>
  <si>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</si>
  <si>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</si>
  <si>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</si>
  <si>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</si>
  <si>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</si>
  <si>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</si>
  <si>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</si>
  <si>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</si>
  <si>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</si>
  <si>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</si>
  <si>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</si>
  <si>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</si>
  <si>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</si>
  <si>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</si>
  <si>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</si>
  <si>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</si>
  <si>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</si>
  <si>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</si>
  <si>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</si>
  <si>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</si>
  <si>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</si>
  <si>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</si>
  <si>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</si>
  <si>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</si>
  <si>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</si>
  <si>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</si>
  <si>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</si>
  <si>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</si>
  <si>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</si>
  <si>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</si>
  <si>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</si>
  <si>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</si>
  <si>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</si>
  <si>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</si>
  <si>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</si>
  <si>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</si>
  <si>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</si>
  <si>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</si>
  <si>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</si>
  <si>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</si>
  <si>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</si>
  <si>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</si>
  <si>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</si>
  <si>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</si>
  <si>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</si>
  <si>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</si>
  <si>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</si>
  <si>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</si>
  <si>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</si>
  <si>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</si>
  <si>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</si>
  <si>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</si>
  <si>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</si>
  <si>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</si>
  <si>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</si>
  <si>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</si>
  <si>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</si>
  <si>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</si>
  <si>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</si>
  <si>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</si>
  <si>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</si>
  <si>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</si>
  <si>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</si>
  <si>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</si>
  <si>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</si>
  <si>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</si>
  <si>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</si>
  <si>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</si>
  <si>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</si>
  <si>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</si>
  <si>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</si>
  <si>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</si>
  <si>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</si>
  <si>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</si>
  <si>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</si>
  <si>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</si>
  <si>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</si>
  <si>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</si>
  <si>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</si>
  <si>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</si>
  <si>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</si>
  <si>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</si>
  <si>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</si>
  <si>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</si>
  <si>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</si>
  <si>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</si>
  <si>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</si>
  <si>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</si>
  <si>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</si>
  <si>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</si>
  <si>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</si>
  <si>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</si>
  <si>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</si>
  <si>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</si>
  <si>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</si>
  <si>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</si>
  <si>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</si>
  <si>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</si>
  <si>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</si>
  <si>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</si>
  <si>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</si>
  <si>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</si>
  <si>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</si>
  <si>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</si>
  <si>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</si>
  <si>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</si>
  <si>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</si>
  <si>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</si>
  <si>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</si>
  <si>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</si>
  <si>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</si>
  <si>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</si>
  <si>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</si>
  <si>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</si>
  <si>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</si>
  <si>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</si>
  <si>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</si>
  <si>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</si>
  <si>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</si>
  <si>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</si>
  <si>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</si>
  <si>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</si>
  <si>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</si>
  <si>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</si>
  <si>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</si>
  <si>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</si>
  <si>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</si>
  <si>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</si>
  <si>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</si>
  <si>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</si>
  <si>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</si>
  <si>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</si>
  <si>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</si>
  <si>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</si>
  <si>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</si>
  <si>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</si>
  <si>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</si>
  <si>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</si>
  <si>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</si>
  <si>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</si>
  <si>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</si>
  <si>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</si>
  <si>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</si>
  <si>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</si>
  <si>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</si>
  <si>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</si>
  <si>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</si>
  <si>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</si>
  <si>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</si>
  <si>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</si>
  <si>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</si>
  <si>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</si>
  <si>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</si>
  <si>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</si>
  <si>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</si>
  <si>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</si>
  <si>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</si>
  <si>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</si>
  <si>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</si>
  <si>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</si>
  <si>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</si>
  <si>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</si>
  <si>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</si>
  <si>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</si>
  <si>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</si>
  <si>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</si>
  <si>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</si>
  <si>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</si>
  <si>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</si>
  <si>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</si>
  <si>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</si>
  <si>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</si>
  <si>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</si>
  <si>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</si>
  <si>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</si>
  <si>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</si>
  <si>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</si>
  <si>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</si>
  <si>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</si>
  <si>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</si>
  <si>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</si>
  <si>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</si>
  <si>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</si>
  <si>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</si>
  <si>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</si>
  <si>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</si>
  <si>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</si>
  <si>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</si>
  <si>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</si>
  <si>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</si>
  <si>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</si>
  <si>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</si>
  <si>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</si>
  <si>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</si>
  <si>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</si>
  <si>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</si>
  <si>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</si>
  <si>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</si>
  <si>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</si>
  <si>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</si>
  <si>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</si>
  <si>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</si>
  <si>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</si>
  <si>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</si>
  <si>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</si>
  <si>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</si>
  <si>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</si>
  <si>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</si>
  <si>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</si>
  <si>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</si>
  <si>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</si>
  <si>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</si>
  <si>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</si>
  <si>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</si>
  <si>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</si>
  <si>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</si>
  <si>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</si>
  <si>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</si>
  <si>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</si>
  <si>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</si>
  <si>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</si>
  <si>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</si>
  <si>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</si>
  <si>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</si>
  <si>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</si>
  <si>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</si>
  <si>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</si>
  <si>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</si>
  <si>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</si>
  <si>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</si>
  <si>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</si>
  <si>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</si>
  <si>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</si>
  <si>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</si>
  <si>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</si>
  <si>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</si>
  <si>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</si>
  <si>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</si>
  <si>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</si>
  <si>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</si>
  <si>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</si>
  <si>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</si>
  <si>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</si>
  <si>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</si>
  <si>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</si>
  <si>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</si>
  <si>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</si>
  <si>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</si>
  <si>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</si>
  <si>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</si>
  <si>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</si>
  <si>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</si>
  <si>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</si>
  <si>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</si>
  <si>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</si>
  <si>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</si>
  <si>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</si>
  <si>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</si>
  <si>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</si>
  <si>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</si>
  <si>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</si>
  <si>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</si>
  <si>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</si>
  <si>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</si>
  <si>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</si>
  <si>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</si>
  <si>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</si>
  <si>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</si>
  <si>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</si>
  <si>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</si>
  <si>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</si>
  <si>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</si>
  <si>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</si>
  <si>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</si>
  <si>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</si>
  <si>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</si>
  <si>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</si>
  <si>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</si>
  <si>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</si>
  <si>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</si>
  <si>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</si>
  <si>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</si>
  <si>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</si>
  <si>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</si>
  <si>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</si>
  <si>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</si>
  <si>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</si>
  <si>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</si>
  <si>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</si>
  <si>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</si>
  <si>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</si>
  <si>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</si>
  <si>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</si>
  <si>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</si>
  <si>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</si>
  <si>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</si>
  <si>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</si>
  <si>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</si>
  <si>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</si>
  <si>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</si>
  <si>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</si>
  <si>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</si>
  <si>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</si>
  <si>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</si>
  <si>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</si>
  <si>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</si>
  <si>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</si>
  <si>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</si>
  <si>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</si>
  <si>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</si>
  <si>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</si>
  <si>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</si>
  <si>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</si>
  <si>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</si>
  <si>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</si>
  <si>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</si>
  <si>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</si>
  <si>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</si>
  <si>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</si>
  <si>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</si>
  <si>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</si>
  <si>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</si>
  <si>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</si>
  <si>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</si>
  <si>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</si>
  <si>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</si>
  <si>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</si>
  <si>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</si>
  <si>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</si>
  <si>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</si>
  <si>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</si>
  <si>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</si>
  <si>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</si>
  <si>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</si>
  <si>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</si>
  <si>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</si>
  <si>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</si>
  <si>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</si>
  <si>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</si>
  <si>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</si>
  <si>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</si>
  <si>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</si>
  <si>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</si>
  <si>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</si>
  <si>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</si>
  <si>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</si>
  <si>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</si>
  <si>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</si>
  <si>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</si>
  <si>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</si>
  <si>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</si>
  <si>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</si>
  <si>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</si>
  <si>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</si>
  <si>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</si>
  <si>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</si>
  <si>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</si>
  <si>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</si>
  <si>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</si>
  <si>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</si>
  <si>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</si>
  <si>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</si>
  <si>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</si>
  <si>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</si>
  <si>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</si>
  <si>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</si>
  <si>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</si>
  <si>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</si>
  <si>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</si>
  <si>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</si>
  <si>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</si>
  <si>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</si>
  <si>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</si>
  <si>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</si>
  <si>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</si>
  <si>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</si>
  <si>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</si>
  <si>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</si>
  <si>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</si>
  <si>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</si>
  <si>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</si>
  <si>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</si>
  <si>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</si>
  <si>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</si>
  <si>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</si>
  <si>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</si>
  <si>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</si>
  <si>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</si>
  <si>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</si>
  <si>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</si>
  <si>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</si>
  <si>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</si>
  <si>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</si>
  <si>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</si>
  <si>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</si>
  <si>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</si>
  <si>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</si>
  <si>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</si>
  <si>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</si>
  <si>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</si>
  <si>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</si>
  <si>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</si>
  <si>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</si>
  <si>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</si>
  <si>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</si>
  <si>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</si>
  <si>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</si>
  <si>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</si>
  <si>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</si>
  <si>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</si>
  <si>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</si>
  <si>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</si>
  <si>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</si>
  <si>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</si>
  <si>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</si>
  <si>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</si>
  <si>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</si>
  <si>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</si>
  <si>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</si>
  <si>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</si>
  <si>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</si>
  <si>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</si>
  <si>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</si>
  <si>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</si>
  <si>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</si>
  <si>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</si>
  <si>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</si>
  <si>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</si>
  <si>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</si>
  <si>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</si>
  <si>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</si>
  <si>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</si>
  <si>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</si>
  <si>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</si>
  <si>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</si>
  <si>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</si>
  <si>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</si>
  <si>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</si>
  <si>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</si>
  <si>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</si>
  <si>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</si>
  <si>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</si>
  <si>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</si>
  <si>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</si>
  <si>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</si>
  <si>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</si>
  <si>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</si>
  <si>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</si>
  <si>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</si>
  <si>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</si>
  <si>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</si>
  <si>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</si>
  <si>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</si>
  <si>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</si>
  <si>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</si>
  <si>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</si>
  <si>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</si>
  <si>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</si>
  <si>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</si>
  <si>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</si>
  <si>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</si>
  <si>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</si>
  <si>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</si>
  <si>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</si>
  <si>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</si>
  <si>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</si>
  <si>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</si>
  <si>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</si>
  <si>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</si>
  <si>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</si>
  <si>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</si>
  <si>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</si>
  <si>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</si>
  <si>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</si>
  <si>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</si>
  <si>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</si>
  <si>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</si>
  <si>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</si>
  <si>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</si>
  <si>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</si>
  <si>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</si>
  <si>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</si>
  <si>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</si>
  <si>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</si>
  <si>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</si>
  <si>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</si>
  <si>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</si>
  <si>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</si>
  <si>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</si>
  <si>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</si>
  <si>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</si>
  <si>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</si>
  <si>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</si>
  <si>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</si>
  <si>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</si>
  <si>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</si>
  <si>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</si>
  <si>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</si>
  <si>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</si>
  <si>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</si>
  <si>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</si>
  <si>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</si>
  <si>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</si>
  <si>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</si>
  <si>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</si>
  <si>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</si>
  <si>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</si>
  <si>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</si>
  <si>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</si>
  <si>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</si>
  <si>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</si>
  <si>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</si>
  <si>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</si>
  <si>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</si>
  <si>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</si>
  <si>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</si>
  <si>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</si>
  <si>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</si>
  <si>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</si>
  <si>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</si>
  <si>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</si>
  <si>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</si>
  <si>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</si>
  <si>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</si>
  <si>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</si>
  <si>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</si>
  <si>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</si>
  <si>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</si>
  <si>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</si>
  <si>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</si>
  <si>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</si>
  <si>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</si>
  <si>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</si>
  <si>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</si>
  <si>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</si>
  <si>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</si>
  <si>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</si>
  <si>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</si>
  <si>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</si>
  <si>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</si>
  <si>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</si>
  <si>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</si>
  <si>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</si>
  <si>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</si>
  <si>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</si>
  <si>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</si>
  <si>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</si>
  <si>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</si>
  <si>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</si>
  <si>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</si>
  <si>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</si>
  <si>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</si>
  <si>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</si>
  <si>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</si>
  <si>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</si>
  <si>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</si>
  <si>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</si>
  <si>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</si>
  <si>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</si>
  <si>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</si>
  <si>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</si>
  <si>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</si>
  <si>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</si>
  <si>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</si>
  <si>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</si>
  <si>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</si>
  <si>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</si>
  <si>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</si>
  <si>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</si>
  <si>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</si>
  <si>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</si>
  <si>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</si>
  <si>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</si>
  <si>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</si>
  <si>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</si>
  <si>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</si>
  <si>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</si>
  <si>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</si>
  <si>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</si>
  <si>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</si>
  <si>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</si>
  <si>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</si>
  <si>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</si>
  <si>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</si>
  <si>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</si>
  <si>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</si>
  <si>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</si>
  <si>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</si>
  <si>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</si>
  <si>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</si>
  <si>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</si>
  <si>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</si>
  <si>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</si>
  <si>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</si>
  <si>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</si>
  <si>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</si>
  <si>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</si>
  <si>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</si>
  <si>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</si>
  <si>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</si>
  <si>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</si>
  <si>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</si>
  <si>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</si>
  <si>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</si>
  <si>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</si>
  <si>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</si>
  <si>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</si>
  <si>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</si>
  <si>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</si>
  <si>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</si>
  <si>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</si>
  <si>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</si>
  <si>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</si>
  <si>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</si>
  <si>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</si>
  <si>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</si>
  <si>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</si>
  <si>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</si>
  <si>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</si>
  <si>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</si>
  <si>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</si>
  <si>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</si>
  <si>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</si>
  <si>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</si>
  <si>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</si>
  <si>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</si>
  <si>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</si>
  <si>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</si>
  <si>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</si>
  <si>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</si>
  <si>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</si>
  <si>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</si>
  <si>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</si>
  <si>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</si>
  <si>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</si>
  <si>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</si>
  <si>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</si>
  <si>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</si>
  <si>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</si>
  <si>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</si>
  <si>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</si>
  <si>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</si>
  <si>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</si>
  <si>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</si>
  <si>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</si>
  <si>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</si>
  <si>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</si>
  <si>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</si>
  <si>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</si>
  <si>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</si>
  <si>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</si>
  <si>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</si>
  <si>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</si>
  <si>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</si>
  <si>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</si>
  <si>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</si>
  <si>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</si>
  <si>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</si>
  <si>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</si>
  <si>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</si>
  <si>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</si>
  <si>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</si>
  <si>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</si>
  <si>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</si>
  <si>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</si>
  <si>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</si>
  <si>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</si>
  <si>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</si>
  <si>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</si>
  <si>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</si>
  <si>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</si>
  <si>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</si>
  <si>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</si>
  <si>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</si>
  <si>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</si>
  <si>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</si>
  <si>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</si>
  <si>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</si>
  <si>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</si>
  <si>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</si>
  <si>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</si>
  <si>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</si>
  <si>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</si>
  <si>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</si>
  <si>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</si>
  <si>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</si>
  <si>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</si>
  <si>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</si>
  <si>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</si>
  <si>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</si>
  <si>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</si>
  <si>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</si>
  <si>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</si>
  <si>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</si>
  <si>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</si>
  <si>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</si>
  <si>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</si>
  <si>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</si>
  <si>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</si>
  <si>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</si>
  <si>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</si>
  <si>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</si>
  <si>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</si>
  <si>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</si>
  <si>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</si>
  <si>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</si>
  <si>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</si>
  <si>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</si>
  <si>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</si>
  <si>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</si>
  <si>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</si>
  <si>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</si>
  <si>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</si>
  <si>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</si>
  <si>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</si>
  <si>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</si>
  <si>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</si>
  <si>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</si>
  <si>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</si>
  <si>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</si>
  <si>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</si>
  <si>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</si>
  <si>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</si>
  <si>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</si>
  <si>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</si>
  <si>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</si>
  <si>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</si>
  <si>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</si>
  <si>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</si>
  <si>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</si>
  <si>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</si>
  <si>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</si>
  <si>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</si>
  <si>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</si>
  <si>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</si>
  <si>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</si>
  <si>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</si>
  <si>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</si>
  <si>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</si>
  <si>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</si>
  <si>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</si>
  <si>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</si>
  <si>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</si>
  <si>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</si>
  <si>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</si>
  <si>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</si>
  <si>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</si>
  <si>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</si>
  <si>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</si>
  <si>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</si>
  <si>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</si>
  <si>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</si>
  <si>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</si>
  <si>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</si>
  <si>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</si>
  <si>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</si>
  <si>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</si>
  <si>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</si>
  <si>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</si>
  <si>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</si>
  <si>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</si>
  <si>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</si>
  <si>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</si>
  <si>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</si>
  <si>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</si>
  <si>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</si>
  <si>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</si>
  <si>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</si>
  <si>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</si>
  <si>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</si>
  <si>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</si>
  <si>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</si>
  <si>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</si>
  <si>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</si>
  <si>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</si>
  <si>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</si>
  <si>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</si>
  <si>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</si>
  <si>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</si>
  <si>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</si>
  <si>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</si>
  <si>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</si>
  <si>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</si>
  <si>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</si>
  <si>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</si>
  <si>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</si>
  <si>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</si>
  <si>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</si>
  <si>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</si>
  <si>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</si>
  <si>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</si>
  <si>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</si>
  <si>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</si>
  <si>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</si>
  <si>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</si>
  <si>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</si>
  <si>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</si>
  <si>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</si>
  <si>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</si>
  <si>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</si>
  <si>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</si>
  <si>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</si>
  <si>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</si>
  <si>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</si>
  <si>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</si>
  <si>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</si>
  <si>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</si>
  <si>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</si>
  <si>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</si>
  <si>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</si>
  <si>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</si>
  <si>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</si>
  <si>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</si>
  <si>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</si>
  <si>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</si>
  <si>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</si>
  <si>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</si>
  <si>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</si>
  <si>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</si>
  <si>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</si>
  <si>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</si>
  <si>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</si>
  <si>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</si>
  <si>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</si>
  <si>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</si>
  <si>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</si>
  <si>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</si>
  <si>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</si>
  <si>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</si>
  <si>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</si>
  <si>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</si>
  <si>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</si>
  <si>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</si>
  <si>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</si>
  <si>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</si>
  <si>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</si>
  <si>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</si>
  <si>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</si>
  <si>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</si>
  <si>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</si>
  <si>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</si>
  <si>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</si>
  <si>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</si>
  <si>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</si>
  <si>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</si>
  <si>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</si>
  <si>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</si>
  <si>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</si>
  <si>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</si>
  <si>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</si>
  <si>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</si>
  <si>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</si>
  <si>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</si>
  <si>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</si>
  <si>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</si>
  <si>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</si>
  <si>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</si>
  <si>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</si>
  <si>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</si>
  <si>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</si>
  <si>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</si>
  <si>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</si>
  <si>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</si>
  <si>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</si>
  <si>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</si>
  <si>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</si>
  <si>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</si>
  <si>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</si>
  <si>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</si>
  <si>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</si>
  <si>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</si>
  <si>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</si>
  <si>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</si>
  <si>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</si>
  <si>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</si>
  <si>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</si>
  <si>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</si>
  <si>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</si>
  <si>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</si>
  <si>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</si>
  <si>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</si>
  <si>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</si>
  <si>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</si>
  <si>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</si>
  <si>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</si>
  <si>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</si>
  <si>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</si>
  <si>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</si>
  <si>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</si>
  <si>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</si>
  <si>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</si>
  <si>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</si>
  <si>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</si>
  <si>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</si>
  <si>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</si>
  <si>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</si>
  <si>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</si>
  <si>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</si>
  <si>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</si>
  <si>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</si>
  <si>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</si>
  <si>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</si>
  <si>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</si>
  <si>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</si>
  <si>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</si>
  <si>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</si>
  <si>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</si>
  <si>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</si>
  <si>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</si>
  <si>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</si>
  <si>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</si>
  <si>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</si>
  <si>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</si>
  <si>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</si>
  <si>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</si>
  <si>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</si>
  <si>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</si>
  <si>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</si>
  <si>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</si>
  <si>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</si>
  <si>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</si>
  <si>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</si>
  <si>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</si>
  <si>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</si>
  <si>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</si>
  <si>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</si>
  <si>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</si>
  <si>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</si>
  <si>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</si>
  <si>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</si>
  <si>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</si>
  <si>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</si>
  <si>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</si>
  <si>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</si>
  <si>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</si>
  <si>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</si>
  <si>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</si>
  <si>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</si>
  <si>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</si>
  <si>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</si>
  <si>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</si>
  <si>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</si>
  <si>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</si>
  <si>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</si>
  <si>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</si>
  <si>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</si>
  <si>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</si>
  <si>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</si>
  <si>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</si>
  <si>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</si>
  <si>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</si>
  <si>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</si>
  <si>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</si>
  <si>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</si>
  <si>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</si>
  <si>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</si>
  <si>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</si>
  <si>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</si>
  <si>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</si>
  <si>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</si>
  <si>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</si>
  <si>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</si>
  <si>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</si>
  <si>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</si>
  <si>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</si>
  <si>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</si>
  <si>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</si>
  <si>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</si>
  <si>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</si>
  <si>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</si>
  <si>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</si>
  <si>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</si>
  <si>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</si>
  <si>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</si>
  <si>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</si>
  <si>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</si>
  <si>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</si>
  <si>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</si>
  <si>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</si>
  <si>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</si>
  <si>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</si>
  <si>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</si>
  <si>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</si>
  <si>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</si>
  <si>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</si>
  <si>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</si>
  <si>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</si>
  <si>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</si>
  <si>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</si>
  <si>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</si>
  <si>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</si>
  <si>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</si>
  <si>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</si>
  <si>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</si>
  <si>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</si>
  <si>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</si>
  <si>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</si>
  <si>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</si>
  <si>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</si>
  <si>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</si>
  <si>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</si>
  <si>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</si>
  <si>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</si>
  <si>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</si>
  <si>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</si>
  <si>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</si>
  <si>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</si>
  <si>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</si>
  <si>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</si>
  <si>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</si>
  <si>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</si>
  <si>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</si>
  <si>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</si>
  <si>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</si>
  <si>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</si>
  <si>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</si>
  <si>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</si>
  <si>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</si>
  <si>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</si>
  <si>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</si>
  <si>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</si>
  <si>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</si>
  <si>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</si>
  <si>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</si>
  <si>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</si>
  <si>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</si>
  <si>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</si>
  <si>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</si>
  <si>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</si>
  <si>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</si>
  <si>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</si>
  <si>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</si>
  <si>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</si>
  <si>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</si>
  <si>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</si>
  <si>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</si>
  <si>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</si>
  <si>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</si>
  <si>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</si>
  <si>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</si>
  <si>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</si>
  <si>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</si>
  <si>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</si>
  <si>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</si>
  <si>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</si>
  <si>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</si>
  <si>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</si>
  <si>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</si>
  <si>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</si>
  <si>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</si>
  <si>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</si>
  <si>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</si>
  <si>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</si>
  <si>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</si>
  <si>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</si>
  <si>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</si>
  <si>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</si>
  <si>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</si>
  <si>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</si>
  <si>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</si>
  <si>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</si>
  <si>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</si>
  <si>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</si>
  <si>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</si>
  <si>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</si>
  <si>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</si>
  <si>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</si>
  <si>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</si>
  <si>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</si>
  <si>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</si>
  <si>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</si>
  <si>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</si>
  <si>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</si>
  <si>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</si>
  <si>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</si>
  <si>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</si>
  <si>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</si>
  <si>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</si>
  <si>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</si>
  <si>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</si>
  <si>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</si>
  <si>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</si>
  <si>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</si>
  <si>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</si>
  <si>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</si>
  <si>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</si>
  <si>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</si>
  <si>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</si>
  <si>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</si>
  <si>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</si>
  <si>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</si>
  <si>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</si>
  <si>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</si>
  <si>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</si>
  <si>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</si>
  <si>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</si>
  <si>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</si>
  <si>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</si>
  <si>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</si>
  <si>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</si>
  <si>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</si>
  <si>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</si>
  <si>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</si>
  <si>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</si>
  <si>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</si>
  <si>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</si>
  <si>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</si>
  <si>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</si>
  <si>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</si>
  <si>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</si>
  <si>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</si>
  <si>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</si>
  <si>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</si>
  <si>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</si>
  <si>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</si>
  <si>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</si>
  <si>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</si>
  <si>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</si>
  <si>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</si>
  <si>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</si>
  <si>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</si>
  <si>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</si>
  <si>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</si>
  <si>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</si>
  <si>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</si>
  <si>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</si>
  <si>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</si>
  <si>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</si>
  <si>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</si>
  <si>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</si>
  <si>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</si>
  <si>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</si>
  <si>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</si>
  <si>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</si>
  <si>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</si>
  <si>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</si>
  <si>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</si>
  <si>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</si>
  <si>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</si>
  <si>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</si>
  <si>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</si>
  <si>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</si>
  <si>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</si>
  <si>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</si>
  <si>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</si>
  <si>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</si>
  <si>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</si>
  <si>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</si>
  <si>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</si>
  <si>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</si>
  <si>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</si>
  <si>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</si>
  <si>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</si>
  <si>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</si>
  <si>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</si>
  <si>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</si>
  <si>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</si>
  <si>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</si>
  <si>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</si>
  <si>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</si>
  <si>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</si>
  <si>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</si>
  <si>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</si>
  <si>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</si>
  <si>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</si>
  <si>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</si>
  <si>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</si>
  <si>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</si>
  <si>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</si>
  <si>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</si>
  <si>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</si>
  <si>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</si>
  <si>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</si>
  <si>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</si>
  <si>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</si>
  <si>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</si>
  <si>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</si>
  <si>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</si>
  <si>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</si>
  <si>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</si>
  <si>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</si>
  <si>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</si>
  <si>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</si>
  <si>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</si>
  <si>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</si>
  <si>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</si>
  <si>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</si>
  <si>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</si>
  <si>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</si>
  <si>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</si>
  <si>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</si>
  <si>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</si>
  <si>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</si>
  <si>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</si>
  <si>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</si>
  <si>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</si>
  <si>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</si>
  <si>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</si>
  <si>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</si>
  <si>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</si>
  <si>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</si>
  <si>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</si>
  <si>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</si>
  <si>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</si>
  <si>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</si>
  <si>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</si>
  <si>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</si>
  <si>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</si>
  <si>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</si>
  <si>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</si>
  <si>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</si>
  <si>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</si>
  <si>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</si>
  <si>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</si>
  <si>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</si>
  <si>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</si>
  <si>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</si>
  <si>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</si>
  <si>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</si>
  <si>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</si>
  <si>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</si>
  <si>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</si>
  <si>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</si>
  <si>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</si>
  <si>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</si>
  <si>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</si>
  <si>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</si>
  <si>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</si>
  <si>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</si>
  <si>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</si>
  <si>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</si>
  <si>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</si>
  <si>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</si>
  <si>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</si>
  <si>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</si>
  <si>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</si>
  <si>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</si>
  <si>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</si>
  <si>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</si>
  <si>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</si>
  <si>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</si>
  <si>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</si>
  <si>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</si>
  <si>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</si>
  <si>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</si>
  <si>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</si>
  <si>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</si>
  <si>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</si>
  <si>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</si>
  <si>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</si>
  <si>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</si>
  <si>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</si>
  <si>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</si>
  <si>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</si>
  <si>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</si>
  <si>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</si>
  <si>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</si>
  <si>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</si>
  <si>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</si>
  <si>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</si>
  <si>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</si>
  <si>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</si>
  <si>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</si>
  <si>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</si>
  <si>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</si>
  <si>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</si>
  <si>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</si>
  <si>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</si>
  <si>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</si>
  <si>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</si>
  <si>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</si>
  <si>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</si>
  <si>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</si>
  <si>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</si>
  <si>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</si>
  <si>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</si>
  <si>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</si>
  <si>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</si>
  <si>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</si>
  <si>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</si>
  <si>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</si>
  <si>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</si>
  <si>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</si>
  <si>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</si>
  <si>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</si>
  <si>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</si>
  <si>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</si>
  <si>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</si>
  <si>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</si>
  <si>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</si>
  <si>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</si>
  <si>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</si>
  <si>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</si>
  <si>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</si>
  <si>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</si>
  <si>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</si>
  <si>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</si>
  <si>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</si>
  <si>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</si>
  <si>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</si>
  <si>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</si>
  <si>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</si>
  <si>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</si>
  <si>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</si>
  <si>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</si>
  <si>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</si>
  <si>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</si>
  <si>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</si>
  <si>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</si>
  <si>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</si>
  <si>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</si>
  <si>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</si>
  <si>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</si>
  <si>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</si>
  <si>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</si>
  <si>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</si>
  <si>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</si>
  <si>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</si>
  <si>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</si>
  <si>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</si>
  <si>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</si>
  <si>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</si>
  <si>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</si>
  <si>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</si>
  <si>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</si>
  <si>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</si>
  <si>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</si>
  <si>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</si>
  <si>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</si>
  <si>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</si>
  <si>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</si>
  <si>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</si>
  <si>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</si>
  <si>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</si>
  <si>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</si>
  <si>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</si>
  <si>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</si>
  <si>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</si>
  <si>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</si>
  <si>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</si>
  <si>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</si>
  <si>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</si>
  <si>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</si>
  <si>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</si>
  <si>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</si>
  <si>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</si>
  <si>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</si>
  <si>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</si>
  <si>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Number of Orders by State</t>
  </si>
  <si>
    <t>Number of Orders by Customer Type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</si>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</sst>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4" fillId="2" borderId="1" xfId="2"/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0" fillId="4" borderId="0" xfId="0" applyFill="1"/>
    <xf numFmtId="0" fontId="0" fillId="0" borderId="0" xfId="0" applyFill="1"/>
    <xf numFmtId="0" fontId="3" fillId="0" borderId="0" xfId="3" applyFill="1"/>
    <xf numFmtId="0" fontId="2" fillId="0" borderId="0" xfId="0" applyFont="1" applyFill="1" applyAlignment="1"/>
    <xf numFmtId="0" fontId="4" fillId="0" borderId="1" xfId="2" applyFill="1"/>
    <xf numFmtId="164" fontId="6" fillId="0" borderId="1" xfId="2" applyNumberFormat="1" applyFont="1" applyFill="1"/>
    <xf numFmtId="0" fontId="0" fillId="0" borderId="0" xfId="0" applyFill="1" applyAlignment="1">
      <alignment horizontal="left"/>
    </xf>
    <xf numFmtId="2" fontId="4" fillId="0" borderId="1" xfId="2" applyNumberFormat="1" applyFill="1"/>
    <xf numFmtId="0" fontId="3" fillId="5" borderId="0" xfId="3" applyFill="1"/>
    <xf numFmtId="0" fontId="3" fillId="5" borderId="0" xfId="3" applyFill="1" applyAlignment="1">
      <alignment horizontal="right"/>
    </xf>
    <xf numFmtId="0" fontId="0" fillId="5" borderId="0" xfId="0" applyFill="1"/>
    <xf numFmtId="18" fontId="5" fillId="5" borderId="0" xfId="3" applyNumberFormat="1" applyFont="1" applyFill="1" applyAlignment="1">
      <alignment vertical="center"/>
    </xf>
    <xf numFmtId="0" fontId="5" fillId="5" borderId="0" xfId="3" applyFont="1" applyFill="1"/>
    <xf numFmtId="0" fontId="7" fillId="5" borderId="0" xfId="3" applyFont="1" applyFill="1"/>
    <xf numFmtId="0" fontId="8" fillId="0" borderId="0" xfId="0" applyFont="1" applyFill="1"/>
    <xf numFmtId="0" fontId="7" fillId="5" borderId="0" xfId="3" applyFont="1" applyFill="1" applyAlignment="1">
      <alignment horizontal="right"/>
    </xf>
    <xf numFmtId="0" fontId="8" fillId="4" borderId="0" xfId="0" applyFont="1" applyFill="1"/>
    <xf numFmtId="18" fontId="9" fillId="5" borderId="0" xfId="3" applyNumberFormat="1" applyFont="1" applyFill="1" applyAlignment="1">
      <alignment vertical="center"/>
    </xf>
    <xf numFmtId="0" fontId="9" fillId="5" borderId="0" xfId="3" applyFont="1" applyFill="1" applyAlignment="1"/>
    <xf numFmtId="0" fontId="8" fillId="5" borderId="0" xfId="0" applyFont="1" applyFill="1" applyAlignmen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 board'!$A$21:$A$34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 board'!$B$21:$B$34</c:f>
              <c:numCache>
                <c:formatCode>"$"#,##0.00</c:formatCode>
                <c:ptCount val="14"/>
                <c:pt idx="0">
                  <c:v>126287.17390000001</c:v>
                </c:pt>
                <c:pt idx="1">
                  <c:v>6728.1596999999992</c:v>
                </c:pt>
                <c:pt idx="2">
                  <c:v>119437.51319999999</c:v>
                </c:pt>
                <c:pt idx="3">
                  <c:v>118852.40846199999</c:v>
                </c:pt>
                <c:pt idx="4">
                  <c:v>62571.483500000002</c:v>
                </c:pt>
                <c:pt idx="5">
                  <c:v>82884.462400000004</c:v>
                </c:pt>
                <c:pt idx="6">
                  <c:v>79174.509999999995</c:v>
                </c:pt>
                <c:pt idx="7">
                  <c:v>55079.906300000002</c:v>
                </c:pt>
                <c:pt idx="8">
                  <c:v>146907.93129999997</c:v>
                </c:pt>
                <c:pt idx="9">
                  <c:v>79629.093600000007</c:v>
                </c:pt>
                <c:pt idx="10">
                  <c:v>69181.465199999991</c:v>
                </c:pt>
                <c:pt idx="11">
                  <c:v>72189.382999999987</c:v>
                </c:pt>
                <c:pt idx="12">
                  <c:v>18350.046800000004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 board'!$A$11:$A$14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 board'!$B$11:$B$14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 board'!$A$5:$A$7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 board'!$B$5:$B$7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</a:t>
            </a:r>
            <a:r>
              <a:rPr lang="en-GB" baseline="0"/>
              <a:t> Count/ Total sales by year for each state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 board'!$B$37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board'!$A$38:$A$42</c15:sqref>
                  </c15:fullRef>
                </c:ext>
              </c:extLst>
              <c:f>'Sales Dash board'!$A$38:$A$41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board'!$B$38:$B$42</c15:sqref>
                  </c15:fullRef>
                </c:ext>
              </c:extLst>
              <c:f>'Sales Dash board'!$B$38:$B$41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09-4963-8988-DC9A8AE5CA4D}"/>
            </c:ext>
          </c:extLst>
        </c:ser>
        <c:ser>
          <c:idx val="1"/>
          <c:order val="1"/>
          <c:tx>
            <c:strRef>
              <c:f>'Sales Dash board'!$C$37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board'!$A$38:$A$42</c15:sqref>
                  </c15:fullRef>
                </c:ext>
              </c:extLst>
              <c:f>'Sales Dash board'!$A$38:$A$41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board'!$C$38:$C$42</c15:sqref>
                  </c15:fullRef>
                </c:ext>
              </c:extLst>
              <c:f>'Sales Dash board'!$C$38:$C$41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09-4963-8988-DC9A8AE5CA4D}"/>
            </c:ext>
          </c:extLst>
        </c:ser>
        <c:ser>
          <c:idx val="2"/>
          <c:order val="2"/>
          <c:tx>
            <c:strRef>
              <c:f>'Sales Dash board'!$D$37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board'!$A$38:$A$42</c15:sqref>
                  </c15:fullRef>
                </c:ext>
              </c:extLst>
              <c:f>'Sales Dash board'!$A$38:$A$41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board'!$D$38:$D$42</c15:sqref>
                  </c15:fullRef>
                </c:ext>
              </c:extLst>
              <c:f>'Sales Dash board'!$D$38:$D$41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09-4963-8988-DC9A8AE5C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544831"/>
        <c:axId val="1535548991"/>
      </c:barChart>
      <c:lineChart>
        <c:grouping val="standard"/>
        <c:varyColors val="0"/>
        <c:ser>
          <c:idx val="3"/>
          <c:order val="3"/>
          <c:tx>
            <c:strRef>
              <c:f>'Sales Dash board'!$E$37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 board'!$A$38:$A$42</c15:sqref>
                  </c15:fullRef>
                </c:ext>
              </c:extLst>
              <c:f>'Sales Dash board'!$A$38:$A$41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board'!$E$38:$E$42</c15:sqref>
                  </c15:fullRef>
                </c:ext>
              </c:extLst>
              <c:f>'Sales Dash board'!$E$38:$E$41</c:f>
              <c:numCache>
                <c:formatCode>0.00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09-4963-8988-DC9A8AE5C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545247"/>
        <c:axId val="1535547743"/>
      </c:lineChart>
      <c:valAx>
        <c:axId val="15355489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44831"/>
        <c:crosses val="autoZero"/>
        <c:crossBetween val="between"/>
      </c:valAx>
      <c:catAx>
        <c:axId val="1535544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5548991"/>
        <c:crosses val="autoZero"/>
        <c:auto val="1"/>
        <c:lblAlgn val="ctr"/>
        <c:lblOffset val="100"/>
        <c:noMultiLvlLbl val="0"/>
      </c:catAx>
      <c:valAx>
        <c:axId val="153554774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45247"/>
        <c:crosses val="max"/>
        <c:crossBetween val="between"/>
      </c:valAx>
      <c:catAx>
        <c:axId val="15355452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55477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335280</xdr:colOff>
      <xdr:row>35</xdr:row>
      <xdr:rowOff>179070</xdr:rowOff>
    </xdr:from>
    <xdr:to>
      <xdr:col>11</xdr:col>
      <xdr:colOff>53340</xdr:colOff>
      <xdr:row>50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3" sqref="N3"/>
    </sheetView>
  </sheetViews>
  <sheetFormatPr defaultColWidth="8.85546875" defaultRowHeight="15" x14ac:dyDescent="0.25"/>
  <cols>
    <col min="1" max="1" width="10" style="1" customWidth="1"/>
    <col min="2" max="2" width="13.28515625" style="1" customWidth="1"/>
    <col min="3" max="3" width="9.570312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4.8554687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8" width="12.7109375" style="1" customWidth="1"/>
    <col min="19" max="19" width="14.7109375" style="1" customWidth="1"/>
    <col min="20" max="20" width="12.140625" style="1" customWidth="1"/>
    <col min="21" max="22" width="10.710937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s="23" customFormat="1" ht="33.950000000000003" customHeight="1" x14ac:dyDescent="0.5">
      <c r="A1" s="24" t="s">
        <v>1875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customFormat="1" x14ac:dyDescent="0.25"/>
    <row r="3" spans="1:25" customFormat="1" x14ac:dyDescent="0.25">
      <c r="A3" s="21" t="s">
        <v>1877</v>
      </c>
      <c r="B3" s="9">
        <f>COUNTA(Order_No)</f>
        <v>1039</v>
      </c>
      <c r="I3" s="21" t="s">
        <v>1879</v>
      </c>
      <c r="J3" s="9">
        <f>COUNTBLANK(Order_Priority)</f>
        <v>2</v>
      </c>
      <c r="N3" s="21" t="s">
        <v>1878</v>
      </c>
      <c r="O3" s="9">
        <f>COUNTA(Ship_Date)</f>
        <v>1037</v>
      </c>
    </row>
    <row r="4" spans="1:25" customFormat="1" x14ac:dyDescent="0.25"/>
    <row r="5" spans="1:25" s="23" customFormat="1" ht="18" customHeight="1" x14ac:dyDescent="0.25">
      <c r="A5" s="21" t="s">
        <v>859</v>
      </c>
      <c r="B5" s="21" t="s">
        <v>0</v>
      </c>
      <c r="C5" s="21" t="s">
        <v>1885</v>
      </c>
      <c r="D5" s="21" t="s">
        <v>1</v>
      </c>
      <c r="E5" s="21" t="s">
        <v>2</v>
      </c>
      <c r="F5" s="21" t="s">
        <v>3</v>
      </c>
      <c r="G5" s="21" t="s">
        <v>4</v>
      </c>
      <c r="H5" s="21" t="s">
        <v>5</v>
      </c>
      <c r="I5" s="21" t="s">
        <v>6</v>
      </c>
      <c r="J5" s="21" t="s">
        <v>7</v>
      </c>
      <c r="K5" s="21" t="s">
        <v>8</v>
      </c>
      <c r="L5" s="21" t="s">
        <v>9</v>
      </c>
      <c r="M5" s="21" t="s">
        <v>10</v>
      </c>
      <c r="N5" s="21" t="s">
        <v>11</v>
      </c>
      <c r="O5" s="21" t="s">
        <v>12</v>
      </c>
      <c r="P5" s="21" t="s">
        <v>13</v>
      </c>
      <c r="Q5" s="21" t="s">
        <v>14</v>
      </c>
      <c r="R5" s="21" t="s">
        <v>1876</v>
      </c>
      <c r="S5" s="21" t="s">
        <v>15</v>
      </c>
      <c r="T5" s="21" t="s">
        <v>855</v>
      </c>
      <c r="U5" s="21" t="s">
        <v>857</v>
      </c>
      <c r="V5" s="21" t="s">
        <v>858</v>
      </c>
      <c r="W5" s="21" t="s">
        <v>856</v>
      </c>
      <c r="X5" s="21" t="s">
        <v>16</v>
      </c>
      <c r="Y5" s="21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1927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1932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1918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1909</v>
      </c>
      <c r="F57" s="3" t="s">
        <v>1888</v>
      </c>
      <c r="G57" s="3" t="s">
        <v>1889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1921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1935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1895</v>
      </c>
      <c r="F63" s="3" t="s">
        <v>1888</v>
      </c>
      <c r="G63" s="3" t="s">
        <v>1889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1927</v>
      </c>
      <c r="F64" s="3" t="s">
        <v>1888</v>
      </c>
      <c r="G64" s="3" t="s">
        <v>1889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1925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1913</v>
      </c>
      <c r="F84" s="3" t="s">
        <v>1888</v>
      </c>
      <c r="G84" s="3" t="s">
        <v>1889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1910</v>
      </c>
      <c r="F85" s="3" t="s">
        <v>1888</v>
      </c>
      <c r="G85" s="3" t="s">
        <v>1889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1937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1937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1936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1900</v>
      </c>
      <c r="F110" s="3" t="s">
        <v>1888</v>
      </c>
      <c r="G110" s="3" t="s">
        <v>1889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1909</v>
      </c>
      <c r="F113" s="3" t="s">
        <v>1888</v>
      </c>
      <c r="G113" s="3" t="s">
        <v>1889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1915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1916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1897</v>
      </c>
      <c r="F130" s="3" t="s">
        <v>1888</v>
      </c>
      <c r="G130" s="3" t="s">
        <v>1889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1898</v>
      </c>
      <c r="F141" s="3" t="s">
        <v>1888</v>
      </c>
      <c r="G141" s="3" t="s">
        <v>1889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1919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1901</v>
      </c>
      <c r="F151" s="3" t="s">
        <v>1888</v>
      </c>
      <c r="G151" s="3" t="s">
        <v>1889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1925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1913</v>
      </c>
      <c r="F157" s="3" t="s">
        <v>1888</v>
      </c>
      <c r="G157" s="3" t="s">
        <v>1889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1900</v>
      </c>
      <c r="F162" s="3" t="s">
        <v>1888</v>
      </c>
      <c r="G162" s="3" t="s">
        <v>1889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1919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1899</v>
      </c>
      <c r="F171" s="3" t="s">
        <v>1888</v>
      </c>
      <c r="G171" s="3" t="s">
        <v>1889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1899</v>
      </c>
      <c r="F172" s="3" t="s">
        <v>1888</v>
      </c>
      <c r="G172" s="3" t="s">
        <v>1889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1918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1907</v>
      </c>
      <c r="F187" s="3" t="s">
        <v>1888</v>
      </c>
      <c r="G187" s="3" t="s">
        <v>1889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1918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1908</v>
      </c>
      <c r="F199" s="3" t="s">
        <v>1888</v>
      </c>
      <c r="G199" s="3" t="s">
        <v>1889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1900</v>
      </c>
      <c r="F211" s="3" t="s">
        <v>1888</v>
      </c>
      <c r="G211" s="3" t="s">
        <v>1889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1940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1935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1925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1925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1929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1913</v>
      </c>
      <c r="F239" s="3" t="s">
        <v>1888</v>
      </c>
      <c r="G239" s="3" t="s">
        <v>1889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1896</v>
      </c>
      <c r="F241" s="3" t="s">
        <v>1888</v>
      </c>
      <c r="G241" s="3" t="s">
        <v>1889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1939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1918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1940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1903</v>
      </c>
      <c r="F277" s="3" t="s">
        <v>1888</v>
      </c>
      <c r="G277" s="3" t="s">
        <v>1889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1925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1914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1923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1905</v>
      </c>
      <c r="F308" s="3" t="s">
        <v>1888</v>
      </c>
      <c r="G308" s="3" t="s">
        <v>1889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1913</v>
      </c>
      <c r="F311" s="3" t="s">
        <v>1888</v>
      </c>
      <c r="G311" s="3" t="s">
        <v>1889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1900</v>
      </c>
      <c r="F313" s="3" t="s">
        <v>1888</v>
      </c>
      <c r="G313" s="3" t="s">
        <v>1889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1922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1928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1894</v>
      </c>
      <c r="F323" s="3" t="s">
        <v>1888</v>
      </c>
      <c r="G323" s="3" t="s">
        <v>1889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1927</v>
      </c>
      <c r="F329" s="3" t="s">
        <v>1888</v>
      </c>
      <c r="G329" s="3" t="s">
        <v>1889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1938</v>
      </c>
      <c r="F333" s="3" t="s">
        <v>1888</v>
      </c>
      <c r="G333" s="3" t="s">
        <v>1889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1932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1940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1900</v>
      </c>
      <c r="F353" s="3" t="s">
        <v>1888</v>
      </c>
      <c r="G353" s="3" t="s">
        <v>1889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1927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1902</v>
      </c>
      <c r="F355" s="3" t="s">
        <v>1888</v>
      </c>
      <c r="G355" s="3" t="s">
        <v>1889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1902</v>
      </c>
      <c r="F356" s="3" t="s">
        <v>1888</v>
      </c>
      <c r="G356" s="3" t="s">
        <v>1889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1936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1897</v>
      </c>
      <c r="F378" s="3" t="s">
        <v>1888</v>
      </c>
      <c r="G378" s="3" t="s">
        <v>1889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1911</v>
      </c>
      <c r="F385" s="3" t="s">
        <v>1888</v>
      </c>
      <c r="G385" s="3" t="s">
        <v>1889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1895</v>
      </c>
      <c r="F387" s="3" t="s">
        <v>1888</v>
      </c>
      <c r="G387" s="3" t="s">
        <v>1889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1895</v>
      </c>
      <c r="F388" s="3" t="s">
        <v>1888</v>
      </c>
      <c r="G388" s="3" t="s">
        <v>1889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1907</v>
      </c>
      <c r="F389" s="3" t="s">
        <v>1888</v>
      </c>
      <c r="G389" s="3" t="s">
        <v>1889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1934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1899</v>
      </c>
      <c r="F398" s="3" t="s">
        <v>1888</v>
      </c>
      <c r="G398" s="3" t="s">
        <v>1889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1893</v>
      </c>
      <c r="F401" s="3" t="s">
        <v>1888</v>
      </c>
      <c r="G401" s="3" t="s">
        <v>1889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1905</v>
      </c>
      <c r="F405" s="3" t="s">
        <v>1888</v>
      </c>
      <c r="G405" s="3" t="s">
        <v>1889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1896</v>
      </c>
      <c r="F408" s="3" t="s">
        <v>1888</v>
      </c>
      <c r="G408" s="3" t="s">
        <v>1889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1929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1931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1895</v>
      </c>
      <c r="F427" s="3" t="s">
        <v>1888</v>
      </c>
      <c r="G427" s="3" t="s">
        <v>1889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1934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1905</v>
      </c>
      <c r="F433" s="3" t="s">
        <v>1888</v>
      </c>
      <c r="G433" s="3" t="s">
        <v>1889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1902</v>
      </c>
      <c r="F436" s="3" t="s">
        <v>1888</v>
      </c>
      <c r="G436" s="3" t="s">
        <v>1889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1905</v>
      </c>
      <c r="F448" s="3" t="s">
        <v>1888</v>
      </c>
      <c r="G448" s="3" t="s">
        <v>1889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1934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1928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1931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1938</v>
      </c>
      <c r="F490" s="3" t="s">
        <v>1888</v>
      </c>
      <c r="G490" s="3" t="s">
        <v>1889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1938</v>
      </c>
      <c r="F491" s="3" t="s">
        <v>1888</v>
      </c>
      <c r="G491" s="3" t="s">
        <v>1889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1938</v>
      </c>
      <c r="F492" s="3" t="s">
        <v>1888</v>
      </c>
      <c r="G492" s="3" t="s">
        <v>1889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1902</v>
      </c>
      <c r="F499" s="3" t="s">
        <v>1888</v>
      </c>
      <c r="G499" s="3" t="s">
        <v>1889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1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1901</v>
      </c>
      <c r="F511" s="3" t="s">
        <v>1888</v>
      </c>
      <c r="G511" s="3" t="s">
        <v>1889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2" t="s">
        <v>1942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0" t="s">
        <v>1943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1899</v>
      </c>
      <c r="F517" s="3" t="s">
        <v>1888</v>
      </c>
      <c r="G517" s="3" t="s">
        <v>1889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1924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1925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1926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0" t="s">
        <v>1944</v>
      </c>
      <c r="B534" s="2">
        <v>42084</v>
      </c>
      <c r="C534" s="3" t="str">
        <f t="shared" si="48"/>
        <v>2015</v>
      </c>
      <c r="D534" s="3" t="s">
        <v>392</v>
      </c>
      <c r="E534" s="3" t="s">
        <v>1909</v>
      </c>
      <c r="F534" s="3" t="s">
        <v>1888</v>
      </c>
      <c r="G534" s="3" t="s">
        <v>1889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1930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1907</v>
      </c>
      <c r="F542" s="3" t="s">
        <v>1888</v>
      </c>
      <c r="G542" s="3" t="s">
        <v>1889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1898</v>
      </c>
      <c r="F544" s="3" t="s">
        <v>1888</v>
      </c>
      <c r="G544" s="3" t="s">
        <v>1889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1926</v>
      </c>
      <c r="F548" s="3" t="s">
        <v>1888</v>
      </c>
      <c r="G548" s="3" t="s">
        <v>1889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1928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1909</v>
      </c>
      <c r="F553" s="3" t="s">
        <v>1888</v>
      </c>
      <c r="G553" s="3" t="s">
        <v>1889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1927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0" t="s">
        <v>1945</v>
      </c>
      <c r="B560" s="2">
        <v>42120</v>
      </c>
      <c r="C560" s="3" t="str">
        <f t="shared" si="48"/>
        <v>2015</v>
      </c>
      <c r="D560" s="3" t="s">
        <v>608</v>
      </c>
      <c r="E560" s="1" t="s">
        <v>1908</v>
      </c>
      <c r="F560" s="3" t="s">
        <v>1888</v>
      </c>
      <c r="G560" s="3" t="s">
        <v>1889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1899</v>
      </c>
      <c r="F564" s="3" t="s">
        <v>1888</v>
      </c>
      <c r="G564" s="3" t="s">
        <v>1889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0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1908</v>
      </c>
      <c r="F571" s="3" t="s">
        <v>1888</v>
      </c>
      <c r="G571" s="3" t="s">
        <v>1889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0" t="s">
        <v>1946</v>
      </c>
      <c r="B572" s="2">
        <v>42135</v>
      </c>
      <c r="C572" s="3" t="str">
        <f t="shared" si="48"/>
        <v>2015</v>
      </c>
      <c r="D572" s="3" t="s">
        <v>619</v>
      </c>
      <c r="E572" s="3" t="s">
        <v>1939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0" t="s">
        <v>1947</v>
      </c>
      <c r="B573" s="2">
        <v>42135</v>
      </c>
      <c r="C573" s="3" t="str">
        <f t="shared" si="48"/>
        <v>2015</v>
      </c>
      <c r="D573" s="3" t="s">
        <v>619</v>
      </c>
      <c r="E573" s="3" t="s">
        <v>1939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0" t="s">
        <v>1948</v>
      </c>
      <c r="B579" s="2">
        <v>42142</v>
      </c>
      <c r="C579" s="3" t="str">
        <f t="shared" si="48"/>
        <v>2015</v>
      </c>
      <c r="D579" s="3" t="s">
        <v>406</v>
      </c>
      <c r="E579" s="3" t="s">
        <v>1910</v>
      </c>
      <c r="F579" s="3" t="s">
        <v>1888</v>
      </c>
      <c r="G579" s="3" t="s">
        <v>1889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1918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1908</v>
      </c>
      <c r="F586" s="3" t="s">
        <v>1888</v>
      </c>
      <c r="G586" s="3" t="s">
        <v>1889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1925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1937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1927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1932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1930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1925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1925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1930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1906</v>
      </c>
      <c r="F671" s="3" t="s">
        <v>1888</v>
      </c>
      <c r="G671" s="3" t="s">
        <v>1889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1910</v>
      </c>
      <c r="F677" s="3" t="s">
        <v>1888</v>
      </c>
      <c r="G677" s="3" t="s">
        <v>1889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1925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1940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1926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1941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1930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1925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1941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1941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1899</v>
      </c>
      <c r="F713" s="3" t="s">
        <v>1888</v>
      </c>
      <c r="G713" s="3" t="s">
        <v>1889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1937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1897</v>
      </c>
      <c r="F729" s="3" t="s">
        <v>1888</v>
      </c>
      <c r="G729" s="3" t="s">
        <v>1889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1896</v>
      </c>
      <c r="F732" s="3" t="s">
        <v>1888</v>
      </c>
      <c r="G732" s="3" t="s">
        <v>1889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1896</v>
      </c>
      <c r="F733" s="3" t="s">
        <v>1888</v>
      </c>
      <c r="G733" s="3" t="s">
        <v>1889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1898</v>
      </c>
      <c r="F737" s="3" t="s">
        <v>1888</v>
      </c>
      <c r="G737" s="3" t="s">
        <v>1889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1927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1906</v>
      </c>
      <c r="F743" s="3" t="s">
        <v>1888</v>
      </c>
      <c r="G743" s="3" t="s">
        <v>1889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1903</v>
      </c>
      <c r="F744" s="3" t="s">
        <v>1888</v>
      </c>
      <c r="G744" s="3" t="s">
        <v>1889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1903</v>
      </c>
      <c r="F745" s="3" t="s">
        <v>1888</v>
      </c>
      <c r="G745" s="3" t="s">
        <v>1889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1903</v>
      </c>
      <c r="F746" s="3" t="s">
        <v>1888</v>
      </c>
      <c r="G746" s="3" t="s">
        <v>1889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1933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0" t="s">
        <v>1951</v>
      </c>
      <c r="B750" s="2">
        <v>42386</v>
      </c>
      <c r="C750" s="3" t="str">
        <f t="shared" si="66"/>
        <v>2016</v>
      </c>
      <c r="D750" s="3" t="s">
        <v>34</v>
      </c>
      <c r="E750" s="3" t="s">
        <v>1927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1913</v>
      </c>
      <c r="F758" s="3" t="s">
        <v>1888</v>
      </c>
      <c r="G758" s="3" t="s">
        <v>1889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1904</v>
      </c>
      <c r="F760" s="3" t="s">
        <v>1888</v>
      </c>
      <c r="G760" s="3" t="s">
        <v>1889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0" t="s">
        <v>1952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0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1912</v>
      </c>
      <c r="F765" s="3" t="s">
        <v>1888</v>
      </c>
      <c r="G765" s="3" t="s">
        <v>1889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1920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1938</v>
      </c>
      <c r="F783" s="3" t="s">
        <v>1888</v>
      </c>
      <c r="G783" s="3" t="s">
        <v>1889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1919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0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1912</v>
      </c>
      <c r="F802" s="3" t="s">
        <v>1888</v>
      </c>
      <c r="G802" s="3" t="s">
        <v>1889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1900</v>
      </c>
      <c r="F811" s="3" t="s">
        <v>1888</v>
      </c>
      <c r="G811" s="3" t="s">
        <v>1889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0" t="s">
        <v>1953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1932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1936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1899</v>
      </c>
      <c r="F820" s="3" t="s">
        <v>1888</v>
      </c>
      <c r="G820" s="3" t="s">
        <v>1889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1906</v>
      </c>
      <c r="F827" s="3" t="s">
        <v>1888</v>
      </c>
      <c r="G827" s="3" t="s">
        <v>1889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1906</v>
      </c>
      <c r="F828" s="3" t="s">
        <v>1888</v>
      </c>
      <c r="G828" s="3" t="s">
        <v>1889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1910</v>
      </c>
      <c r="F836" s="3" t="s">
        <v>1888</v>
      </c>
      <c r="G836" s="3" t="s">
        <v>1889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0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1900</v>
      </c>
      <c r="F844" s="3" t="s">
        <v>1888</v>
      </c>
      <c r="G844" s="3" t="s">
        <v>1889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1909</v>
      </c>
      <c r="F846" s="3" t="s">
        <v>1888</v>
      </c>
      <c r="G846" s="3" t="s">
        <v>1889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1900</v>
      </c>
      <c r="F852" s="3" t="s">
        <v>1888</v>
      </c>
      <c r="G852" s="3" t="s">
        <v>1889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1925</v>
      </c>
      <c r="F854" s="3" t="s">
        <v>1888</v>
      </c>
      <c r="G854" s="3" t="s">
        <v>1889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1941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1899</v>
      </c>
      <c r="F858" s="3" t="s">
        <v>1888</v>
      </c>
      <c r="G858" s="3" t="s">
        <v>1889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1928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0" t="s">
        <v>1954</v>
      </c>
      <c r="B872" s="2">
        <v>42546</v>
      </c>
      <c r="C872" s="3" t="str">
        <f t="shared" si="78"/>
        <v>2016</v>
      </c>
      <c r="D872" s="3" t="s">
        <v>48</v>
      </c>
      <c r="E872" s="3" t="s">
        <v>1899</v>
      </c>
      <c r="F872" s="3" t="s">
        <v>1888</v>
      </c>
      <c r="G872" s="3" t="s">
        <v>1889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0" t="s">
        <v>1950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1912</v>
      </c>
      <c r="F874" s="3" t="s">
        <v>1888</v>
      </c>
      <c r="G874" s="3" t="s">
        <v>1889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0" t="s">
        <v>1949</v>
      </c>
      <c r="B875" s="2">
        <v>42550</v>
      </c>
      <c r="C875" s="3" t="str">
        <f t="shared" si="78"/>
        <v>2016</v>
      </c>
      <c r="D875" s="3" t="s">
        <v>438</v>
      </c>
      <c r="E875" s="3" t="s">
        <v>1912</v>
      </c>
      <c r="F875" s="3" t="s">
        <v>1888</v>
      </c>
      <c r="G875" s="3" t="s">
        <v>1889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1929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0" t="s">
        <v>1955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1911</v>
      </c>
      <c r="F888" s="3" t="s">
        <v>1888</v>
      </c>
      <c r="G888" s="3" t="s">
        <v>1889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1925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1900</v>
      </c>
      <c r="F901" s="3" t="s">
        <v>1888</v>
      </c>
      <c r="G901" s="3" t="s">
        <v>1889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1901</v>
      </c>
      <c r="F907" s="3" t="s">
        <v>1888</v>
      </c>
      <c r="G907" s="3" t="s">
        <v>1889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1901</v>
      </c>
      <c r="F908" s="3" t="s">
        <v>1888</v>
      </c>
      <c r="G908" s="3" t="s">
        <v>1889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0" t="s">
        <v>1956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0" t="s">
        <v>1957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1929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1897</v>
      </c>
      <c r="F930" s="3" t="s">
        <v>1888</v>
      </c>
      <c r="G930" s="3" t="s">
        <v>1889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1891</v>
      </c>
      <c r="F931" s="3" t="s">
        <v>1888</v>
      </c>
      <c r="G931" s="3" t="s">
        <v>1889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1892</v>
      </c>
      <c r="F932" s="3" t="s">
        <v>1888</v>
      </c>
      <c r="G932" s="3" t="s">
        <v>1889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1899</v>
      </c>
      <c r="F939" s="3" t="s">
        <v>1888</v>
      </c>
      <c r="G939" s="3" t="s">
        <v>1889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1931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0" t="s">
        <v>1958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0" t="s">
        <v>1959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1899</v>
      </c>
      <c r="F949" s="3" t="s">
        <v>1888</v>
      </c>
      <c r="G949" s="3" t="s">
        <v>1889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1907</v>
      </c>
      <c r="F967" s="3" t="s">
        <v>1888</v>
      </c>
      <c r="G967" s="3" t="s">
        <v>1889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1939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1898</v>
      </c>
      <c r="F972" s="3" t="s">
        <v>1888</v>
      </c>
      <c r="G972" s="3" t="s">
        <v>1889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1935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0" t="s">
        <v>1960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1926</v>
      </c>
      <c r="F994" s="3" t="s">
        <v>1888</v>
      </c>
      <c r="G994" s="3" t="s">
        <v>1889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1935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1919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1899</v>
      </c>
      <c r="F1002" s="3" t="s">
        <v>1888</v>
      </c>
      <c r="G1002" s="3" t="s">
        <v>1889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0" t="s">
        <v>1961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1890</v>
      </c>
      <c r="F1010" s="3" t="s">
        <v>1888</v>
      </c>
      <c r="G1010" s="3" t="s">
        <v>1889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1936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1899</v>
      </c>
      <c r="F1016" s="3" t="s">
        <v>1888</v>
      </c>
      <c r="G1016" s="3" t="s">
        <v>1889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1934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1925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1911</v>
      </c>
      <c r="F1036" s="3" t="s">
        <v>1888</v>
      </c>
      <c r="G1036" s="3" t="s">
        <v>1889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1899</v>
      </c>
      <c r="F1039" s="3" t="s">
        <v>1888</v>
      </c>
      <c r="G1039" s="3" t="s">
        <v>1889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1917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1927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</sheetData>
  <autoFilter ref="A5:Y1044" xr:uid="{00000000-0009-0000-0000-000000000000}"/>
  <sortState ref="A6:Y1044">
    <sortCondition ref="B6:B1044"/>
    <sortCondition ref="A6:A1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abSelected="1" topLeftCell="A7" workbookViewId="0">
      <selection sqref="A1:XFD1"/>
    </sheetView>
  </sheetViews>
  <sheetFormatPr defaultRowHeight="15" x14ac:dyDescent="0.25"/>
  <cols>
    <col min="1" max="1" width="22.85546875" style="14" customWidth="1"/>
    <col min="2" max="2" width="15.28515625" style="14" customWidth="1"/>
    <col min="3" max="7" width="14.85546875" style="14" customWidth="1"/>
    <col min="8" max="8" width="14.28515625" style="14" customWidth="1"/>
    <col min="9" max="16384" width="9.140625" style="14"/>
  </cols>
  <sheetData>
    <row r="1" spans="1:26" s="32" customFormat="1" ht="33.950000000000003" customHeight="1" x14ac:dyDescent="0.5">
      <c r="A1" s="30" t="s">
        <v>1880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4" spans="1:26" x14ac:dyDescent="0.25">
      <c r="A4" s="26" t="s">
        <v>1881</v>
      </c>
      <c r="B4" s="26"/>
    </row>
    <row r="5" spans="1:26" x14ac:dyDescent="0.25">
      <c r="A5" s="16" t="s">
        <v>20</v>
      </c>
      <c r="B5" s="17">
        <f>COUNTIF(State,A5)</f>
        <v>289</v>
      </c>
    </row>
    <row r="6" spans="1:26" x14ac:dyDescent="0.25">
      <c r="A6" s="16" t="s">
        <v>37</v>
      </c>
      <c r="B6" s="17">
        <f>COUNTIF(State,A6)</f>
        <v>646</v>
      </c>
    </row>
    <row r="7" spans="1:26" x14ac:dyDescent="0.25">
      <c r="A7" s="16" t="s">
        <v>1889</v>
      </c>
      <c r="B7" s="17">
        <f>COUNTIF(State,A7)</f>
        <v>104</v>
      </c>
    </row>
    <row r="10" spans="1:26" s="27" customFormat="1" x14ac:dyDescent="0.25">
      <c r="A10" s="26" t="s">
        <v>1882</v>
      </c>
      <c r="B10" s="26"/>
    </row>
    <row r="11" spans="1:26" x14ac:dyDescent="0.25">
      <c r="A11" s="16" t="s">
        <v>21</v>
      </c>
      <c r="B11" s="17">
        <f>COUNTIF(Customer_Type,A11)</f>
        <v>264</v>
      </c>
    </row>
    <row r="12" spans="1:26" x14ac:dyDescent="0.25">
      <c r="A12" s="16" t="s">
        <v>29</v>
      </c>
      <c r="B12" s="17">
        <f>COUNTIF(Customer_Type,A12)</f>
        <v>177</v>
      </c>
    </row>
    <row r="13" spans="1:26" x14ac:dyDescent="0.25">
      <c r="A13" s="16" t="s">
        <v>42</v>
      </c>
      <c r="B13" s="17">
        <f>COUNTIF(Customer_Type,A13)</f>
        <v>221</v>
      </c>
    </row>
    <row r="14" spans="1:26" x14ac:dyDescent="0.25">
      <c r="A14" s="16" t="s">
        <v>50</v>
      </c>
      <c r="B14" s="17">
        <f>COUNTIF(Customer_Type,A14)</f>
        <v>377</v>
      </c>
    </row>
    <row r="17" spans="1:7" x14ac:dyDescent="0.25">
      <c r="A17" s="15" t="s">
        <v>1886</v>
      </c>
      <c r="B17" s="17">
        <f>COUNTIF(Order_Quantity,"&gt;40" )</f>
        <v>238</v>
      </c>
    </row>
    <row r="20" spans="1:7" s="29" customFormat="1" x14ac:dyDescent="0.25">
      <c r="A20" s="26" t="s">
        <v>1883</v>
      </c>
      <c r="B20" s="28" t="s">
        <v>854</v>
      </c>
      <c r="C20" s="28">
        <v>2013</v>
      </c>
      <c r="D20" s="28">
        <v>2014</v>
      </c>
      <c r="E20" s="28">
        <v>2015</v>
      </c>
      <c r="F20" s="28">
        <v>2016</v>
      </c>
      <c r="G20" s="28" t="s">
        <v>1887</v>
      </c>
    </row>
    <row r="21" spans="1:7" x14ac:dyDescent="0.25">
      <c r="A21" s="16" t="s">
        <v>22</v>
      </c>
      <c r="B21" s="18">
        <f>SUM(C21:F21)</f>
        <v>126287.17390000001</v>
      </c>
      <c r="C21" s="18">
        <f t="shared" ref="C21:F34" si="0">SUMIFS(Total,Account_Manager,$A21,Order_Year,C$20)</f>
        <v>8706.8624999999993</v>
      </c>
      <c r="D21" s="18">
        <f t="shared" si="0"/>
        <v>27899.607300000003</v>
      </c>
      <c r="E21" s="18">
        <f t="shared" si="0"/>
        <v>41877.791499999999</v>
      </c>
      <c r="F21" s="18">
        <f t="shared" si="0"/>
        <v>47802.912599999996</v>
      </c>
    </row>
    <row r="22" spans="1:7" x14ac:dyDescent="0.25">
      <c r="A22" s="16" t="s">
        <v>38</v>
      </c>
      <c r="B22" s="18">
        <f t="shared" ref="B22:B35" si="1">SUM(C22:F22)</f>
        <v>6728.1596999999992</v>
      </c>
      <c r="C22" s="18">
        <f t="shared" si="0"/>
        <v>5695.6566999999995</v>
      </c>
      <c r="D22" s="18">
        <f t="shared" si="0"/>
        <v>130.74239999999998</v>
      </c>
      <c r="E22" s="18">
        <f t="shared" si="0"/>
        <v>455.70100000000002</v>
      </c>
      <c r="F22" s="18">
        <f t="shared" si="0"/>
        <v>446.05959999999993</v>
      </c>
    </row>
    <row r="23" spans="1:7" x14ac:dyDescent="0.25">
      <c r="A23" s="16" t="s">
        <v>43</v>
      </c>
      <c r="B23" s="18">
        <f t="shared" si="1"/>
        <v>119437.51319999999</v>
      </c>
      <c r="C23" s="18">
        <f t="shared" si="0"/>
        <v>16049.806299999998</v>
      </c>
      <c r="D23" s="18">
        <f t="shared" si="0"/>
        <v>61179.227299999999</v>
      </c>
      <c r="E23" s="18">
        <f t="shared" si="0"/>
        <v>21588.616099999999</v>
      </c>
      <c r="F23" s="18">
        <f t="shared" si="0"/>
        <v>20619.863499999999</v>
      </c>
    </row>
    <row r="24" spans="1:7" x14ac:dyDescent="0.25">
      <c r="A24" s="16" t="s">
        <v>51</v>
      </c>
      <c r="B24" s="18">
        <f t="shared" si="1"/>
        <v>118852.40846199999</v>
      </c>
      <c r="C24" s="18">
        <f t="shared" si="0"/>
        <v>21750.561262000003</v>
      </c>
      <c r="D24" s="18">
        <f t="shared" si="0"/>
        <v>42012.128400000001</v>
      </c>
      <c r="E24" s="18">
        <f t="shared" si="0"/>
        <v>27109.998199999995</v>
      </c>
      <c r="F24" s="18">
        <f t="shared" si="0"/>
        <v>27979.720600000004</v>
      </c>
    </row>
    <row r="25" spans="1:7" x14ac:dyDescent="0.25">
      <c r="A25" s="16" t="s">
        <v>56</v>
      </c>
      <c r="B25" s="18">
        <f t="shared" si="1"/>
        <v>62571.483500000002</v>
      </c>
      <c r="C25" s="18">
        <f t="shared" si="0"/>
        <v>7613.9438</v>
      </c>
      <c r="D25" s="18">
        <f t="shared" si="0"/>
        <v>6856.232</v>
      </c>
      <c r="E25" s="18">
        <f t="shared" si="0"/>
        <v>20874.770600000003</v>
      </c>
      <c r="F25" s="18">
        <f t="shared" si="0"/>
        <v>27226.537100000001</v>
      </c>
    </row>
    <row r="26" spans="1:7" x14ac:dyDescent="0.25">
      <c r="A26" s="16" t="s">
        <v>75</v>
      </c>
      <c r="B26" s="18">
        <f t="shared" si="1"/>
        <v>82884.462400000004</v>
      </c>
      <c r="C26" s="18">
        <f t="shared" si="0"/>
        <v>5150.1589000000004</v>
      </c>
      <c r="D26" s="18">
        <f t="shared" si="0"/>
        <v>6707.860999999999</v>
      </c>
      <c r="E26" s="18">
        <f t="shared" si="0"/>
        <v>68219.158800000005</v>
      </c>
      <c r="F26" s="18">
        <f t="shared" si="0"/>
        <v>2807.2836999999995</v>
      </c>
    </row>
    <row r="27" spans="1:7" x14ac:dyDescent="0.25">
      <c r="A27" s="16" t="s">
        <v>79</v>
      </c>
      <c r="B27" s="18">
        <f t="shared" si="1"/>
        <v>79174.509999999995</v>
      </c>
      <c r="C27" s="18">
        <f t="shared" si="0"/>
        <v>6351.314800000001</v>
      </c>
      <c r="D27" s="18">
        <f t="shared" si="0"/>
        <v>14097.026299999998</v>
      </c>
      <c r="E27" s="18">
        <f t="shared" si="0"/>
        <v>31907.880899999996</v>
      </c>
      <c r="F27" s="18">
        <f t="shared" si="0"/>
        <v>26818.288</v>
      </c>
    </row>
    <row r="28" spans="1:7" x14ac:dyDescent="0.25">
      <c r="A28" s="16" t="s">
        <v>83</v>
      </c>
      <c r="B28" s="18">
        <f t="shared" si="1"/>
        <v>55079.906300000002</v>
      </c>
      <c r="C28" s="18">
        <f t="shared" si="0"/>
        <v>5187.7125999999998</v>
      </c>
      <c r="D28" s="18">
        <f t="shared" si="0"/>
        <v>33803.7598</v>
      </c>
      <c r="E28" s="18">
        <f t="shared" si="0"/>
        <v>13366.221600000001</v>
      </c>
      <c r="F28" s="18">
        <f t="shared" si="0"/>
        <v>2722.2123000000001</v>
      </c>
    </row>
    <row r="29" spans="1:7" x14ac:dyDescent="0.25">
      <c r="A29" s="16" t="s">
        <v>92</v>
      </c>
      <c r="B29" s="18">
        <f t="shared" si="1"/>
        <v>146907.93129999997</v>
      </c>
      <c r="C29" s="18">
        <f t="shared" si="0"/>
        <v>41077.482600000003</v>
      </c>
      <c r="D29" s="18">
        <f t="shared" si="0"/>
        <v>56246.561600000001</v>
      </c>
      <c r="E29" s="18">
        <f t="shared" si="0"/>
        <v>35551.66369999999</v>
      </c>
      <c r="F29" s="18">
        <f t="shared" si="0"/>
        <v>14032.223399999999</v>
      </c>
    </row>
    <row r="30" spans="1:7" x14ac:dyDescent="0.25">
      <c r="A30" s="16" t="s">
        <v>96</v>
      </c>
      <c r="B30" s="18">
        <f t="shared" si="1"/>
        <v>79629.093600000007</v>
      </c>
      <c r="C30" s="18">
        <f t="shared" si="0"/>
        <v>14278.113600000002</v>
      </c>
      <c r="D30" s="18">
        <f t="shared" si="0"/>
        <v>15766.073200000001</v>
      </c>
      <c r="E30" s="18">
        <f t="shared" si="0"/>
        <v>38901.419900000001</v>
      </c>
      <c r="F30" s="18">
        <f t="shared" si="0"/>
        <v>10683.4869</v>
      </c>
    </row>
    <row r="31" spans="1:7" x14ac:dyDescent="0.25">
      <c r="A31" s="16" t="s">
        <v>102</v>
      </c>
      <c r="B31" s="18">
        <f t="shared" si="1"/>
        <v>69181.465199999991</v>
      </c>
      <c r="C31" s="18">
        <f t="shared" si="0"/>
        <v>20296.341799999998</v>
      </c>
      <c r="D31" s="18">
        <f t="shared" si="0"/>
        <v>4190.5551000000005</v>
      </c>
      <c r="E31" s="18">
        <f t="shared" si="0"/>
        <v>2993.3495999999991</v>
      </c>
      <c r="F31" s="18">
        <f t="shared" si="0"/>
        <v>41701.218699999998</v>
      </c>
    </row>
    <row r="32" spans="1:7" x14ac:dyDescent="0.25">
      <c r="A32" s="16" t="s">
        <v>124</v>
      </c>
      <c r="B32" s="18">
        <f t="shared" si="1"/>
        <v>72189.382999999987</v>
      </c>
      <c r="C32" s="18">
        <f t="shared" si="0"/>
        <v>3991.8021999999996</v>
      </c>
      <c r="D32" s="18">
        <f t="shared" si="0"/>
        <v>36284.862799999995</v>
      </c>
      <c r="E32" s="18">
        <f t="shared" si="0"/>
        <v>21313.6908</v>
      </c>
      <c r="F32" s="18">
        <f t="shared" si="0"/>
        <v>10599.0272</v>
      </c>
    </row>
    <row r="33" spans="1:6" x14ac:dyDescent="0.25">
      <c r="A33" s="16" t="s">
        <v>142</v>
      </c>
      <c r="B33" s="18">
        <f t="shared" si="1"/>
        <v>18350.046800000004</v>
      </c>
      <c r="C33" s="18">
        <f t="shared" si="0"/>
        <v>538.94219999999996</v>
      </c>
      <c r="D33" s="18">
        <f t="shared" si="0"/>
        <v>3959.5741000000007</v>
      </c>
      <c r="E33" s="18">
        <f t="shared" si="0"/>
        <v>6498.4348000000009</v>
      </c>
      <c r="F33" s="18">
        <f t="shared" si="0"/>
        <v>7353.0956999999999</v>
      </c>
    </row>
    <row r="34" spans="1:6" x14ac:dyDescent="0.25">
      <c r="A34" s="16" t="s">
        <v>153</v>
      </c>
      <c r="B34" s="18">
        <f t="shared" si="1"/>
        <v>78760.563399999999</v>
      </c>
      <c r="C34" s="18">
        <f t="shared" si="0"/>
        <v>15062.0996</v>
      </c>
      <c r="D34" s="18">
        <f t="shared" si="0"/>
        <v>10097.448199999999</v>
      </c>
      <c r="E34" s="18">
        <f t="shared" si="0"/>
        <v>22104.2487</v>
      </c>
      <c r="F34" s="18">
        <f t="shared" si="0"/>
        <v>31496.766900000002</v>
      </c>
    </row>
    <row r="35" spans="1:6" hidden="1" x14ac:dyDescent="0.25">
      <c r="B35" s="18">
        <f t="shared" si="1"/>
        <v>0</v>
      </c>
      <c r="C35" s="18">
        <f>SUMIFS(Total,Account_Manager,$A35,Order_Year,C$20)</f>
        <v>0</v>
      </c>
      <c r="D35" s="14" t="s">
        <v>1884</v>
      </c>
      <c r="E35" s="18">
        <f>SUMIFS(Total,Account_Manager,$A35,Order_Year,E$20)</f>
        <v>0</v>
      </c>
      <c r="F35" s="18">
        <f>SUMIFS(Total,Account_Manager,$A35,Order_Year,F$20)</f>
        <v>0</v>
      </c>
    </row>
    <row r="37" spans="1:6" s="13" customFormat="1" x14ac:dyDescent="0.25">
      <c r="A37" s="21" t="s">
        <v>1962</v>
      </c>
      <c r="B37" s="22" t="s">
        <v>37</v>
      </c>
      <c r="C37" s="22" t="s">
        <v>20</v>
      </c>
      <c r="D37" s="22" t="s">
        <v>1889</v>
      </c>
      <c r="E37" s="22" t="s">
        <v>1963</v>
      </c>
    </row>
    <row r="38" spans="1:6" x14ac:dyDescent="0.25">
      <c r="A38" s="19">
        <v>2013</v>
      </c>
      <c r="B38" s="17">
        <f t="shared" ref="B38:D42" si="2">COUNTIFS(Order_Year,$A38,State,B$37)</f>
        <v>138</v>
      </c>
      <c r="C38" s="17">
        <f t="shared" si="2"/>
        <v>66</v>
      </c>
      <c r="D38" s="17">
        <f t="shared" si="2"/>
        <v>17</v>
      </c>
      <c r="E38" s="20">
        <f>SUMIFS(Total,Order_Year,$A38)</f>
        <v>171750.79886199994</v>
      </c>
    </row>
    <row r="39" spans="1:6" x14ac:dyDescent="0.25">
      <c r="A39" s="19">
        <v>2014</v>
      </c>
      <c r="B39" s="17">
        <f t="shared" si="2"/>
        <v>147</v>
      </c>
      <c r="C39" s="17">
        <f t="shared" si="2"/>
        <v>70</v>
      </c>
      <c r="D39" s="17">
        <f t="shared" si="2"/>
        <v>25</v>
      </c>
      <c r="E39" s="20">
        <f>SUMIFS(Total,Order_Year,$A39)</f>
        <v>319231.65950000001</v>
      </c>
    </row>
    <row r="40" spans="1:6" x14ac:dyDescent="0.25">
      <c r="A40" s="19">
        <v>2015</v>
      </c>
      <c r="B40" s="17">
        <f t="shared" si="2"/>
        <v>162</v>
      </c>
      <c r="C40" s="17">
        <f t="shared" si="2"/>
        <v>89</v>
      </c>
      <c r="D40" s="17">
        <f t="shared" si="2"/>
        <v>27</v>
      </c>
      <c r="E40" s="20">
        <f>SUMIFS(Total,Order_Year,$A40)</f>
        <v>352762.94619999995</v>
      </c>
    </row>
    <row r="41" spans="1:6" x14ac:dyDescent="0.25">
      <c r="A41" s="19">
        <v>2016</v>
      </c>
      <c r="B41" s="17">
        <f t="shared" si="2"/>
        <v>181</v>
      </c>
      <c r="C41" s="17">
        <f t="shared" si="2"/>
        <v>59</v>
      </c>
      <c r="D41" s="17">
        <f t="shared" si="2"/>
        <v>33</v>
      </c>
      <c r="E41" s="20">
        <f>SUMIFS(Total,Order_Year,$A41)</f>
        <v>272288.69620000001</v>
      </c>
    </row>
    <row r="42" spans="1:6" x14ac:dyDescent="0.25">
      <c r="A42" s="19">
        <v>2017</v>
      </c>
      <c r="B42" s="17">
        <f t="shared" si="2"/>
        <v>18</v>
      </c>
      <c r="C42" s="17">
        <f t="shared" si="2"/>
        <v>5</v>
      </c>
      <c r="D42" s="17">
        <f t="shared" si="2"/>
        <v>2</v>
      </c>
      <c r="E42" s="20">
        <f>SUMIFS(Total,Order_Year,$A42)</f>
        <v>22772.828800000007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'Sales Dash board'!C21:F21</xm:f>
              <xm:sqref>G21</xm:sqref>
            </x14:sparkline>
            <x14:sparkline>
              <xm:f>'Sales Dash board'!C22:F22</xm:f>
              <xm:sqref>G22</xm:sqref>
            </x14:sparkline>
            <x14:sparkline>
              <xm:f>'Sales Dash board'!C23:F23</xm:f>
              <xm:sqref>G23</xm:sqref>
            </x14:sparkline>
            <x14:sparkline>
              <xm:f>'Sales Dash board'!C24:F24</xm:f>
              <xm:sqref>G24</xm:sqref>
            </x14:sparkline>
            <x14:sparkline>
              <xm:f>'Sales Dash board'!C25:F25</xm:f>
              <xm:sqref>G25</xm:sqref>
            </x14:sparkline>
            <x14:sparkline>
              <xm:f>'Sales Dash board'!C26:F26</xm:f>
              <xm:sqref>G26</xm:sqref>
            </x14:sparkline>
            <x14:sparkline>
              <xm:f>'Sales Dash board'!C27:F27</xm:f>
              <xm:sqref>G27</xm:sqref>
            </x14:sparkline>
            <x14:sparkline>
              <xm:f>'Sales Dash board'!C28:F28</xm:f>
              <xm:sqref>G28</xm:sqref>
            </x14:sparkline>
            <x14:sparkline>
              <xm:f>'Sales Dash board'!C29:F29</xm:f>
              <xm:sqref>G29</xm:sqref>
            </x14:sparkline>
            <x14:sparkline>
              <xm:f>'Sales Dash board'!C30:F30</xm:f>
              <xm:sqref>G30</xm:sqref>
            </x14:sparkline>
            <x14:sparkline>
              <xm:f>'Sales Dash board'!C31:F31</xm:f>
              <xm:sqref>G31</xm:sqref>
            </x14:sparkline>
            <x14:sparkline>
              <xm:f>'Sales Dash board'!C32:F32</xm:f>
              <xm:sqref>G32</xm:sqref>
            </x14:sparkline>
            <x14:sparkline>
              <xm:f>'Sales Dash board'!C33:F33</xm:f>
              <xm:sqref>G33</xm:sqref>
            </x14:sparkline>
            <x14:sparkline>
              <xm:f>'Sales Dash board'!C34:F34</xm:f>
              <xm:sqref>G34</xm:sqref>
            </x14:sparkline>
            <x14:sparkline>
              <xm:f>'Sales Dash board'!C35:F35</xm:f>
              <xm:sqref>G35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Orders</vt:lpstr>
      <vt:lpstr>Sales Dash board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A-FF-L5-D08@DIGI.LOCAL</cp:lastModifiedBy>
  <dcterms:created xsi:type="dcterms:W3CDTF">2017-05-01T13:03:22Z</dcterms:created>
  <dcterms:modified xsi:type="dcterms:W3CDTF">2026-06-14T11:03:12Z</dcterms:modified>
</cp:coreProperties>
</file>